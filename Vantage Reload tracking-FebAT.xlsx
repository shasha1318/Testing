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gsystems-my.sharepoint.com/personal/shajith_shaik_csgi_com/Documents/Desktop/SOPs/"/>
    </mc:Choice>
  </mc:AlternateContent>
  <xr:revisionPtr revIDLastSave="4" documentId="8_{80E835B0-A647-45A7-A30A-D91170BB43FF}" xr6:coauthVersionLast="43" xr6:coauthVersionMax="46" xr10:uidLastSave="{DBC58887-91DF-40EA-9DA9-278995DDE407}"/>
  <bookViews>
    <workbookView xWindow="-108" yWindow="-108" windowWidth="23256" windowHeight="12576" activeTab="1" xr2:uid="{1AF53A97-FBB7-4C6D-A9F5-D45BADEFD359}"/>
  </bookViews>
  <sheets>
    <sheet name="Daily_Completion Status" sheetId="3" r:id="rId1"/>
    <sheet name="Infocast Autosys Job status" sheetId="4" r:id="rId2"/>
    <sheet name="Reload Status" sheetId="1" r:id="rId3"/>
  </sheets>
  <externalReferences>
    <externalReference r:id="rId4"/>
  </externalReferences>
  <definedNames>
    <definedName name="Cycle_Date">'Reload Status'!$C$1</definedName>
    <definedName name="Process_Date">'Reload Status'!$D$1</definedName>
    <definedName name="TenMinutes">'[1]RPPS Chart'!$C$2</definedName>
    <definedName name="ThirtyMinutes">'[1]RPPS Chart'!$D$2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O78" i="1" s="1"/>
  <c r="P78" i="1" s="1"/>
  <c r="K79" i="1"/>
  <c r="K80" i="1"/>
  <c r="K81" i="1"/>
  <c r="K82" i="1"/>
  <c r="K83" i="1"/>
  <c r="K84" i="1"/>
  <c r="O84" i="1" s="1"/>
  <c r="P84" i="1" s="1"/>
  <c r="K85" i="1"/>
  <c r="K86" i="1"/>
  <c r="K87" i="1"/>
  <c r="K88" i="1"/>
  <c r="K89" i="1"/>
  <c r="K90" i="1"/>
  <c r="K91" i="1"/>
  <c r="K92" i="1"/>
  <c r="O92" i="1" s="1"/>
  <c r="P92" i="1" s="1"/>
  <c r="K93" i="1"/>
  <c r="K94" i="1"/>
  <c r="K95" i="1"/>
  <c r="K96" i="1"/>
  <c r="K97" i="1"/>
  <c r="K98" i="1"/>
  <c r="K99" i="1"/>
  <c r="K100" i="1"/>
  <c r="K101" i="1"/>
  <c r="K102" i="1"/>
  <c r="K103" i="1"/>
  <c r="K104" i="1"/>
  <c r="O104" i="1" s="1"/>
  <c r="P104" i="1" s="1"/>
  <c r="K105" i="1"/>
  <c r="O105" i="1" s="1"/>
  <c r="P105" i="1" s="1"/>
  <c r="K106" i="1"/>
  <c r="K107" i="1"/>
  <c r="K108" i="1"/>
  <c r="O108" i="1" s="1"/>
  <c r="P108" i="1" s="1"/>
  <c r="K109" i="1"/>
  <c r="K110" i="1"/>
  <c r="O110" i="1" s="1"/>
  <c r="P110" i="1" s="1"/>
  <c r="K111" i="1"/>
  <c r="O111" i="1" s="1"/>
  <c r="P111" i="1" s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O18" i="1"/>
  <c r="N18" i="1" s="1"/>
  <c r="O107" i="1"/>
  <c r="P107" i="1" s="1"/>
  <c r="O96" i="1"/>
  <c r="P96" i="1" s="1"/>
  <c r="O95" i="1"/>
  <c r="P95" i="1" s="1"/>
  <c r="O93" i="1"/>
  <c r="P93" i="1" s="1"/>
  <c r="O83" i="1"/>
  <c r="P83" i="1" s="1"/>
  <c r="O81" i="1"/>
  <c r="P81" i="1" s="1"/>
  <c r="O80" i="1"/>
  <c r="P80" i="1" s="1"/>
  <c r="O77" i="1"/>
  <c r="P77" i="1" s="1"/>
  <c r="O87" i="1"/>
  <c r="P87" i="1" s="1"/>
  <c r="O86" i="1"/>
  <c r="P86" i="1" s="1"/>
  <c r="O75" i="1"/>
  <c r="P75" i="1" s="1"/>
  <c r="O74" i="1"/>
  <c r="P74" i="1" s="1"/>
  <c r="O72" i="1"/>
  <c r="P72" i="1" s="1"/>
  <c r="O71" i="1"/>
  <c r="P71" i="1" s="1"/>
  <c r="O90" i="1"/>
  <c r="P90" i="1" s="1"/>
  <c r="O89" i="1"/>
  <c r="P89" i="1" s="1"/>
  <c r="O21" i="1"/>
  <c r="P21" i="1" s="1"/>
  <c r="O20" i="1"/>
  <c r="P20" i="1" s="1"/>
  <c r="O39" i="1"/>
  <c r="P39" i="1" s="1"/>
  <c r="O38" i="1"/>
  <c r="P38" i="1" s="1"/>
  <c r="O36" i="1"/>
  <c r="P36" i="1" s="1"/>
  <c r="O35" i="1"/>
  <c r="P35" i="1" s="1"/>
  <c r="O33" i="1"/>
  <c r="P33" i="1" s="1"/>
  <c r="O32" i="1"/>
  <c r="P32" i="1" s="1"/>
  <c r="O30" i="1"/>
  <c r="P30" i="1" s="1"/>
  <c r="O29" i="1"/>
  <c r="P29" i="1" s="1"/>
  <c r="O9" i="1"/>
  <c r="P9" i="1" s="1"/>
  <c r="O8" i="1"/>
  <c r="P8" i="1" s="1"/>
  <c r="O27" i="1"/>
  <c r="P27" i="1" s="1"/>
  <c r="O26" i="1"/>
  <c r="P26" i="1" s="1"/>
  <c r="O24" i="1"/>
  <c r="P24" i="1" s="1"/>
  <c r="O23" i="1"/>
  <c r="P23" i="1" s="1"/>
  <c r="D24" i="1"/>
  <c r="D27" i="1"/>
  <c r="D9" i="1"/>
  <c r="D6" i="1"/>
  <c r="D12" i="1"/>
  <c r="D15" i="1"/>
  <c r="D18" i="1"/>
  <c r="D30" i="1"/>
  <c r="D33" i="1"/>
  <c r="D36" i="1"/>
  <c r="D39" i="1"/>
  <c r="D21" i="1"/>
  <c r="D42" i="1"/>
  <c r="D45" i="1"/>
  <c r="D48" i="1"/>
  <c r="D51" i="1"/>
  <c r="D54" i="1"/>
  <c r="D57" i="1"/>
  <c r="D60" i="1"/>
  <c r="D63" i="1"/>
  <c r="D90" i="1"/>
  <c r="D66" i="1"/>
  <c r="D69" i="1"/>
  <c r="D72" i="1"/>
  <c r="D75" i="1"/>
  <c r="D87" i="1"/>
  <c r="D78" i="1"/>
  <c r="D81" i="1"/>
  <c r="D84" i="1"/>
  <c r="D93" i="1"/>
  <c r="D96" i="1"/>
  <c r="D102" i="1"/>
  <c r="D99" i="1"/>
  <c r="D105" i="1"/>
  <c r="D108" i="1"/>
  <c r="D111" i="1"/>
  <c r="D114" i="1"/>
  <c r="D123" i="1"/>
  <c r="D117" i="1"/>
  <c r="D126" i="1"/>
  <c r="D120" i="1"/>
  <c r="D129" i="1"/>
  <c r="G24" i="1"/>
  <c r="G27" i="1"/>
  <c r="G9" i="1"/>
  <c r="G6" i="1"/>
  <c r="G12" i="1"/>
  <c r="G15" i="1"/>
  <c r="G18" i="1"/>
  <c r="G30" i="1"/>
  <c r="G33" i="1"/>
  <c r="G36" i="1"/>
  <c r="G39" i="1"/>
  <c r="G21" i="1"/>
  <c r="G42" i="1"/>
  <c r="G45" i="1"/>
  <c r="G48" i="1"/>
  <c r="G51" i="1"/>
  <c r="G54" i="1"/>
  <c r="G57" i="1"/>
  <c r="G60" i="1"/>
  <c r="G63" i="1"/>
  <c r="G90" i="1"/>
  <c r="G66" i="1"/>
  <c r="G69" i="1"/>
  <c r="G72" i="1"/>
  <c r="G75" i="1"/>
  <c r="G87" i="1"/>
  <c r="G78" i="1"/>
  <c r="G81" i="1"/>
  <c r="G84" i="1"/>
  <c r="G93" i="1"/>
  <c r="G96" i="1"/>
  <c r="G102" i="1"/>
  <c r="G99" i="1"/>
  <c r="G105" i="1"/>
  <c r="G108" i="1"/>
  <c r="G111" i="1"/>
  <c r="G114" i="1"/>
  <c r="G123" i="1"/>
  <c r="G117" i="1"/>
  <c r="G126" i="1"/>
  <c r="G120" i="1"/>
  <c r="G129" i="1"/>
  <c r="O6" i="1"/>
  <c r="N6" i="1" s="1"/>
  <c r="O12" i="1"/>
  <c r="N12" i="1" s="1"/>
  <c r="O15" i="1"/>
  <c r="N15" i="1" s="1"/>
  <c r="O42" i="1"/>
  <c r="N42" i="1" s="1"/>
  <c r="O45" i="1"/>
  <c r="N45" i="1" s="1"/>
  <c r="O48" i="1"/>
  <c r="N48" i="1" s="1"/>
  <c r="O51" i="1"/>
  <c r="N51" i="1" s="1"/>
  <c r="O54" i="1"/>
  <c r="N54" i="1" s="1"/>
  <c r="O57" i="1"/>
  <c r="N57" i="1" s="1"/>
  <c r="O60" i="1"/>
  <c r="N60" i="1" s="1"/>
  <c r="O63" i="1"/>
  <c r="N63" i="1" s="1"/>
  <c r="O66" i="1"/>
  <c r="N66" i="1" s="1"/>
  <c r="O69" i="1"/>
  <c r="N69" i="1" s="1"/>
  <c r="O102" i="1"/>
  <c r="N102" i="1" s="1"/>
  <c r="O99" i="1"/>
  <c r="N99" i="1" s="1"/>
  <c r="O114" i="1"/>
  <c r="N114" i="1" s="1"/>
  <c r="O123" i="1"/>
  <c r="N123" i="1" s="1"/>
  <c r="O117" i="1"/>
  <c r="N117" i="1" s="1"/>
  <c r="O126" i="1"/>
  <c r="N126" i="1" s="1"/>
  <c r="O120" i="1"/>
  <c r="N120" i="1" s="1"/>
  <c r="O129" i="1"/>
  <c r="N129" i="1" s="1"/>
  <c r="D23" i="1"/>
  <c r="D26" i="1"/>
  <c r="D8" i="1"/>
  <c r="D5" i="1"/>
  <c r="D11" i="1"/>
  <c r="D14" i="1"/>
  <c r="D17" i="1"/>
  <c r="D29" i="1"/>
  <c r="D32" i="1"/>
  <c r="D35" i="1"/>
  <c r="D38" i="1"/>
  <c r="D20" i="1"/>
  <c r="D41" i="1"/>
  <c r="D44" i="1"/>
  <c r="D47" i="1"/>
  <c r="D50" i="1"/>
  <c r="D53" i="1"/>
  <c r="D56" i="1"/>
  <c r="D59" i="1"/>
  <c r="D62" i="1"/>
  <c r="D89" i="1"/>
  <c r="D65" i="1"/>
  <c r="D68" i="1"/>
  <c r="D71" i="1"/>
  <c r="D74" i="1"/>
  <c r="D86" i="1"/>
  <c r="D77" i="1"/>
  <c r="D80" i="1"/>
  <c r="D83" i="1"/>
  <c r="D92" i="1"/>
  <c r="D95" i="1"/>
  <c r="D101" i="1"/>
  <c r="D98" i="1"/>
  <c r="D104" i="1"/>
  <c r="D107" i="1"/>
  <c r="D110" i="1"/>
  <c r="D113" i="1"/>
  <c r="D122" i="1"/>
  <c r="D116" i="1"/>
  <c r="D125" i="1"/>
  <c r="D119" i="1"/>
  <c r="D128" i="1"/>
  <c r="G23" i="1"/>
  <c r="G26" i="1"/>
  <c r="G8" i="1"/>
  <c r="G5" i="1"/>
  <c r="G11" i="1"/>
  <c r="G14" i="1"/>
  <c r="G17" i="1"/>
  <c r="G29" i="1"/>
  <c r="G32" i="1"/>
  <c r="G35" i="1"/>
  <c r="G38" i="1"/>
  <c r="G20" i="1"/>
  <c r="G41" i="1"/>
  <c r="G44" i="1"/>
  <c r="G47" i="1"/>
  <c r="G50" i="1"/>
  <c r="G53" i="1"/>
  <c r="G56" i="1"/>
  <c r="G59" i="1"/>
  <c r="G62" i="1"/>
  <c r="G89" i="1"/>
  <c r="G65" i="1"/>
  <c r="G68" i="1"/>
  <c r="G71" i="1"/>
  <c r="G74" i="1"/>
  <c r="G86" i="1"/>
  <c r="G77" i="1"/>
  <c r="G80" i="1"/>
  <c r="G83" i="1"/>
  <c r="G92" i="1"/>
  <c r="G95" i="1"/>
  <c r="G101" i="1"/>
  <c r="G98" i="1"/>
  <c r="G104" i="1"/>
  <c r="G107" i="1"/>
  <c r="G110" i="1"/>
  <c r="G113" i="1"/>
  <c r="G122" i="1"/>
  <c r="G116" i="1"/>
  <c r="G125" i="1"/>
  <c r="G119" i="1"/>
  <c r="G128" i="1"/>
  <c r="O5" i="1"/>
  <c r="N5" i="1" s="1"/>
  <c r="O11" i="1"/>
  <c r="N11" i="1" s="1"/>
  <c r="O14" i="1"/>
  <c r="N14" i="1" s="1"/>
  <c r="O17" i="1"/>
  <c r="N17" i="1" s="1"/>
  <c r="O41" i="1"/>
  <c r="N41" i="1" s="1"/>
  <c r="O44" i="1"/>
  <c r="N44" i="1" s="1"/>
  <c r="O47" i="1"/>
  <c r="N47" i="1" s="1"/>
  <c r="O50" i="1"/>
  <c r="N50" i="1" s="1"/>
  <c r="O53" i="1"/>
  <c r="N53" i="1" s="1"/>
  <c r="O56" i="1"/>
  <c r="N56" i="1" s="1"/>
  <c r="O59" i="1"/>
  <c r="N59" i="1" s="1"/>
  <c r="O62" i="1"/>
  <c r="N62" i="1" s="1"/>
  <c r="O65" i="1"/>
  <c r="N65" i="1" s="1"/>
  <c r="O68" i="1"/>
  <c r="N68" i="1" s="1"/>
  <c r="O101" i="1"/>
  <c r="N101" i="1" s="1"/>
  <c r="O98" i="1"/>
  <c r="N98" i="1" s="1"/>
  <c r="O113" i="1"/>
  <c r="N113" i="1" s="1"/>
  <c r="O122" i="1"/>
  <c r="N122" i="1" s="1"/>
  <c r="O116" i="1"/>
  <c r="N116" i="1" s="1"/>
  <c r="O125" i="1"/>
  <c r="N125" i="1" s="1"/>
  <c r="O119" i="1"/>
  <c r="N119" i="1" s="1"/>
  <c r="O128" i="1"/>
  <c r="N128" i="1" s="1"/>
  <c r="G115" i="1"/>
  <c r="O115" i="1"/>
  <c r="N115" i="1" s="1"/>
  <c r="G124" i="1"/>
  <c r="O124" i="1"/>
  <c r="N124" i="1" s="1"/>
  <c r="G118" i="1"/>
  <c r="O118" i="1"/>
  <c r="N118" i="1" s="1"/>
  <c r="G127" i="1"/>
  <c r="O127" i="1"/>
  <c r="N127" i="1" s="1"/>
  <c r="N90" i="1" l="1"/>
  <c r="N74" i="1"/>
  <c r="N26" i="1"/>
  <c r="N111" i="1"/>
  <c r="N27" i="1"/>
  <c r="N30" i="1"/>
  <c r="N36" i="1"/>
  <c r="N21" i="1"/>
  <c r="N72" i="1"/>
  <c r="N87" i="1"/>
  <c r="N81" i="1"/>
  <c r="N93" i="1"/>
  <c r="N105" i="1"/>
  <c r="N23" i="1"/>
  <c r="N8" i="1"/>
  <c r="N32" i="1"/>
  <c r="N38" i="1"/>
  <c r="N89" i="1"/>
  <c r="N77" i="1"/>
  <c r="N83" i="1"/>
  <c r="N95" i="1"/>
  <c r="N107" i="1"/>
  <c r="N24" i="1"/>
  <c r="N9" i="1"/>
  <c r="N33" i="1"/>
  <c r="N39" i="1"/>
  <c r="N75" i="1"/>
  <c r="N78" i="1"/>
  <c r="N84" i="1"/>
  <c r="N96" i="1"/>
  <c r="N108" i="1"/>
  <c r="N29" i="1"/>
  <c r="N35" i="1"/>
  <c r="N20" i="1"/>
  <c r="N71" i="1"/>
  <c r="N86" i="1"/>
  <c r="N80" i="1"/>
  <c r="N92" i="1"/>
  <c r="N104" i="1"/>
  <c r="N110" i="1"/>
  <c r="P51" i="1"/>
  <c r="P60" i="1"/>
  <c r="P68" i="1"/>
  <c r="P18" i="1"/>
  <c r="P125" i="1"/>
  <c r="P117" i="1"/>
  <c r="P44" i="1"/>
  <c r="P69" i="1"/>
  <c r="P11" i="1"/>
  <c r="P50" i="1"/>
  <c r="P123" i="1"/>
  <c r="P115" i="1"/>
  <c r="P59" i="1"/>
  <c r="P42" i="1"/>
  <c r="P17" i="1"/>
  <c r="P102" i="1"/>
  <c r="P57" i="1"/>
  <c r="P63" i="1"/>
  <c r="P122" i="1"/>
  <c r="P114" i="1"/>
  <c r="P41" i="1"/>
  <c r="P66" i="1"/>
  <c r="P101" i="1"/>
  <c r="P56" i="1"/>
  <c r="P48" i="1"/>
  <c r="P62" i="1"/>
  <c r="P129" i="1"/>
  <c r="P113" i="1"/>
  <c r="P65" i="1"/>
  <c r="P15" i="1"/>
  <c r="P47" i="1"/>
  <c r="P128" i="1"/>
  <c r="P120" i="1"/>
  <c r="P14" i="1"/>
  <c r="P6" i="1"/>
  <c r="P124" i="1"/>
  <c r="P116" i="1"/>
  <c r="P54" i="1"/>
  <c r="P127" i="1"/>
  <c r="P119" i="1"/>
  <c r="P99" i="1"/>
  <c r="P5" i="1"/>
  <c r="P53" i="1"/>
  <c r="P126" i="1"/>
  <c r="P118" i="1"/>
  <c r="P98" i="1"/>
  <c r="P45" i="1"/>
  <c r="P12" i="1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F602" i="3"/>
  <c r="G602" i="3"/>
  <c r="H602" i="3"/>
  <c r="F603" i="3"/>
  <c r="G603" i="3"/>
  <c r="H603" i="3"/>
  <c r="F604" i="3"/>
  <c r="G604" i="3"/>
  <c r="H604" i="3"/>
  <c r="F605" i="3"/>
  <c r="G605" i="3"/>
  <c r="H605" i="3"/>
  <c r="F606" i="3"/>
  <c r="G606" i="3"/>
  <c r="H606" i="3"/>
  <c r="F607" i="3"/>
  <c r="G607" i="3"/>
  <c r="H607" i="3"/>
  <c r="F608" i="3"/>
  <c r="G608" i="3"/>
  <c r="H608" i="3"/>
  <c r="F609" i="3"/>
  <c r="G609" i="3"/>
  <c r="H609" i="3"/>
  <c r="F610" i="3"/>
  <c r="G610" i="3"/>
  <c r="H610" i="3"/>
  <c r="F611" i="3"/>
  <c r="G611" i="3"/>
  <c r="H611" i="3"/>
  <c r="F612" i="3"/>
  <c r="G612" i="3"/>
  <c r="H612" i="3"/>
  <c r="F613" i="3"/>
  <c r="G613" i="3"/>
  <c r="H613" i="3"/>
  <c r="F614" i="3"/>
  <c r="G614" i="3"/>
  <c r="H614" i="3"/>
  <c r="F615" i="3"/>
  <c r="G615" i="3"/>
  <c r="H615" i="3"/>
  <c r="F616" i="3"/>
  <c r="G616" i="3"/>
  <c r="H616" i="3"/>
  <c r="F617" i="3"/>
  <c r="G617" i="3"/>
  <c r="H617" i="3"/>
  <c r="F618" i="3"/>
  <c r="G618" i="3"/>
  <c r="H618" i="3"/>
  <c r="F619" i="3"/>
  <c r="G619" i="3"/>
  <c r="H619" i="3"/>
  <c r="F620" i="3"/>
  <c r="G620" i="3"/>
  <c r="H620" i="3"/>
  <c r="F621" i="3"/>
  <c r="G621" i="3"/>
  <c r="H621" i="3"/>
  <c r="F622" i="3"/>
  <c r="G622" i="3"/>
  <c r="H622" i="3"/>
  <c r="F623" i="3"/>
  <c r="G623" i="3"/>
  <c r="H623" i="3"/>
  <c r="F624" i="3"/>
  <c r="G624" i="3"/>
  <c r="H624" i="3"/>
  <c r="F625" i="3"/>
  <c r="G625" i="3"/>
  <c r="H625" i="3"/>
  <c r="F626" i="3"/>
  <c r="G626" i="3"/>
  <c r="H626" i="3"/>
  <c r="F627" i="3"/>
  <c r="G627" i="3"/>
  <c r="H627" i="3"/>
  <c r="F628" i="3"/>
  <c r="G628" i="3"/>
  <c r="H628" i="3"/>
  <c r="F629" i="3"/>
  <c r="G629" i="3"/>
  <c r="H629" i="3"/>
  <c r="F630" i="3"/>
  <c r="G630" i="3"/>
  <c r="H630" i="3"/>
  <c r="F631" i="3"/>
  <c r="G631" i="3"/>
  <c r="H631" i="3"/>
  <c r="F632" i="3"/>
  <c r="G632" i="3"/>
  <c r="H632" i="3"/>
  <c r="F633" i="3"/>
  <c r="G633" i="3"/>
  <c r="H633" i="3"/>
  <c r="F634" i="3"/>
  <c r="G634" i="3"/>
  <c r="H634" i="3"/>
  <c r="F635" i="3"/>
  <c r="G635" i="3"/>
  <c r="H635" i="3"/>
  <c r="F636" i="3"/>
  <c r="G636" i="3"/>
  <c r="H636" i="3"/>
  <c r="F637" i="3"/>
  <c r="G637" i="3"/>
  <c r="H637" i="3"/>
  <c r="F638" i="3"/>
  <c r="G638" i="3"/>
  <c r="H638" i="3"/>
  <c r="F639" i="3"/>
  <c r="G639" i="3"/>
  <c r="H639" i="3"/>
  <c r="F640" i="3"/>
  <c r="G640" i="3"/>
  <c r="H640" i="3"/>
  <c r="F641" i="3"/>
  <c r="G641" i="3"/>
  <c r="H641" i="3"/>
  <c r="F642" i="3"/>
  <c r="G642" i="3"/>
  <c r="H642" i="3"/>
  <c r="F643" i="3"/>
  <c r="G643" i="3"/>
  <c r="H643" i="3"/>
  <c r="F644" i="3"/>
  <c r="G644" i="3"/>
  <c r="H644" i="3"/>
  <c r="F645" i="3"/>
  <c r="G645" i="3"/>
  <c r="H645" i="3"/>
  <c r="F646" i="3"/>
  <c r="G646" i="3"/>
  <c r="H646" i="3"/>
  <c r="F647" i="3"/>
  <c r="G647" i="3"/>
  <c r="H647" i="3"/>
  <c r="F648" i="3"/>
  <c r="G648" i="3"/>
  <c r="H648" i="3"/>
  <c r="F649" i="3"/>
  <c r="G649" i="3"/>
  <c r="H649" i="3"/>
  <c r="F650" i="3"/>
  <c r="G650" i="3"/>
  <c r="H650" i="3"/>
  <c r="F651" i="3"/>
  <c r="G651" i="3"/>
  <c r="H651" i="3"/>
  <c r="F652" i="3"/>
  <c r="G652" i="3"/>
  <c r="H652" i="3"/>
  <c r="F653" i="3"/>
  <c r="G653" i="3"/>
  <c r="H653" i="3"/>
  <c r="F654" i="3"/>
  <c r="G654" i="3"/>
  <c r="H654" i="3"/>
  <c r="F655" i="3"/>
  <c r="G655" i="3"/>
  <c r="H655" i="3"/>
  <c r="F656" i="3"/>
  <c r="G656" i="3"/>
  <c r="H656" i="3"/>
  <c r="F657" i="3"/>
  <c r="G657" i="3"/>
  <c r="H657" i="3"/>
  <c r="F658" i="3"/>
  <c r="G658" i="3"/>
  <c r="H658" i="3"/>
  <c r="F659" i="3"/>
  <c r="G659" i="3"/>
  <c r="H659" i="3"/>
  <c r="F660" i="3"/>
  <c r="G660" i="3"/>
  <c r="H660" i="3"/>
  <c r="F661" i="3"/>
  <c r="G661" i="3"/>
  <c r="H661" i="3"/>
  <c r="F662" i="3"/>
  <c r="G662" i="3"/>
  <c r="H662" i="3"/>
  <c r="F663" i="3"/>
  <c r="G663" i="3"/>
  <c r="H663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H232" i="3" l="1"/>
  <c r="H231" i="3"/>
  <c r="H230" i="3"/>
  <c r="H229" i="3"/>
  <c r="H228" i="3"/>
  <c r="H227" i="3"/>
  <c r="H226" i="3"/>
  <c r="H225" i="3"/>
  <c r="H224" i="3"/>
  <c r="H223" i="3"/>
  <c r="H222" i="3"/>
  <c r="H221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D22" i="1" l="1"/>
  <c r="D25" i="1"/>
  <c r="D7" i="1"/>
  <c r="D4" i="1"/>
  <c r="D10" i="1"/>
  <c r="D13" i="1"/>
  <c r="D16" i="1"/>
  <c r="D28" i="1"/>
  <c r="D31" i="1"/>
  <c r="D34" i="1"/>
  <c r="D37" i="1"/>
  <c r="D19" i="1"/>
  <c r="D40" i="1"/>
  <c r="D43" i="1"/>
  <c r="D46" i="1"/>
  <c r="D49" i="1"/>
  <c r="D52" i="1"/>
  <c r="D55" i="1"/>
  <c r="D58" i="1"/>
  <c r="D61" i="1"/>
  <c r="D88" i="1"/>
  <c r="D64" i="1"/>
  <c r="D67" i="1"/>
  <c r="D70" i="1"/>
  <c r="D73" i="1"/>
  <c r="D85" i="1"/>
  <c r="D76" i="1"/>
  <c r="D79" i="1"/>
  <c r="D82" i="1"/>
  <c r="D91" i="1"/>
  <c r="D94" i="1"/>
  <c r="D100" i="1"/>
  <c r="D97" i="1"/>
  <c r="D103" i="1"/>
  <c r="D106" i="1"/>
  <c r="D109" i="1"/>
  <c r="D112" i="1"/>
  <c r="D121" i="1"/>
  <c r="D115" i="1"/>
  <c r="D124" i="1"/>
  <c r="D118" i="1"/>
  <c r="D127" i="1"/>
  <c r="O103" i="1" l="1"/>
  <c r="P103" i="1" s="1"/>
  <c r="O94" i="1"/>
  <c r="P94" i="1" s="1"/>
  <c r="O91" i="1"/>
  <c r="P91" i="1" s="1"/>
  <c r="N103" i="1" l="1"/>
  <c r="N91" i="1"/>
  <c r="N94" i="1"/>
  <c r="G103" i="1"/>
  <c r="G94" i="1"/>
  <c r="G91" i="1"/>
  <c r="O22" i="1" l="1"/>
  <c r="P22" i="1" s="1"/>
  <c r="O25" i="1"/>
  <c r="P25" i="1" s="1"/>
  <c r="O7" i="1"/>
  <c r="P7" i="1" s="1"/>
  <c r="O4" i="1"/>
  <c r="O10" i="1"/>
  <c r="O13" i="1"/>
  <c r="O16" i="1"/>
  <c r="O28" i="1"/>
  <c r="P28" i="1" s="1"/>
  <c r="O31" i="1"/>
  <c r="P31" i="1" s="1"/>
  <c r="O34" i="1"/>
  <c r="P34" i="1" s="1"/>
  <c r="O37" i="1"/>
  <c r="P37" i="1" s="1"/>
  <c r="O19" i="1"/>
  <c r="P19" i="1" s="1"/>
  <c r="O40" i="1"/>
  <c r="O43" i="1"/>
  <c r="O46" i="1"/>
  <c r="O49" i="1"/>
  <c r="O52" i="1"/>
  <c r="O55" i="1"/>
  <c r="O58" i="1"/>
  <c r="O61" i="1"/>
  <c r="O88" i="1"/>
  <c r="P88" i="1" s="1"/>
  <c r="O64" i="1"/>
  <c r="O67" i="1"/>
  <c r="O70" i="1"/>
  <c r="P70" i="1" s="1"/>
  <c r="O73" i="1"/>
  <c r="P73" i="1" s="1"/>
  <c r="O85" i="1"/>
  <c r="P85" i="1" s="1"/>
  <c r="O76" i="1"/>
  <c r="P76" i="1" s="1"/>
  <c r="O79" i="1"/>
  <c r="P79" i="1" s="1"/>
  <c r="O82" i="1"/>
  <c r="P82" i="1" s="1"/>
  <c r="O100" i="1"/>
  <c r="O97" i="1"/>
  <c r="O106" i="1"/>
  <c r="P106" i="1" s="1"/>
  <c r="O109" i="1"/>
  <c r="P109" i="1" s="1"/>
  <c r="O112" i="1"/>
  <c r="O121" i="1"/>
  <c r="D1" i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N73" i="1"/>
  <c r="N70" i="1" l="1"/>
  <c r="N88" i="1"/>
  <c r="N85" i="1"/>
  <c r="N82" i="1"/>
  <c r="N34" i="1"/>
  <c r="N28" i="1"/>
  <c r="N25" i="1"/>
  <c r="N109" i="1"/>
  <c r="N19" i="1"/>
  <c r="N106" i="1"/>
  <c r="N37" i="1"/>
  <c r="N79" i="1"/>
  <c r="N31" i="1"/>
  <c r="N22" i="1"/>
  <c r="N76" i="1"/>
  <c r="N7" i="1"/>
  <c r="N46" i="1"/>
  <c r="P46" i="1"/>
  <c r="N16" i="1"/>
  <c r="P16" i="1"/>
  <c r="N64" i="1"/>
  <c r="P64" i="1"/>
  <c r="N43" i="1"/>
  <c r="P43" i="1"/>
  <c r="N13" i="1"/>
  <c r="P13" i="1"/>
  <c r="N49" i="1"/>
  <c r="P49" i="1"/>
  <c r="N40" i="1"/>
  <c r="P40" i="1"/>
  <c r="N10" i="1"/>
  <c r="P10" i="1"/>
  <c r="N67" i="1"/>
  <c r="P67" i="1"/>
  <c r="N61" i="1"/>
  <c r="P61" i="1"/>
  <c r="N4" i="1"/>
  <c r="P4" i="1"/>
  <c r="N97" i="1"/>
  <c r="P97" i="1"/>
  <c r="N121" i="1"/>
  <c r="P121" i="1"/>
  <c r="N58" i="1"/>
  <c r="P58" i="1"/>
  <c r="N112" i="1"/>
  <c r="P112" i="1"/>
  <c r="N55" i="1"/>
  <c r="P55" i="1"/>
  <c r="N100" i="1"/>
  <c r="P100" i="1"/>
  <c r="N52" i="1"/>
  <c r="P52" i="1"/>
  <c r="G22" i="1"/>
  <c r="G25" i="1"/>
  <c r="G7" i="1"/>
  <c r="G4" i="1"/>
  <c r="G10" i="1"/>
  <c r="G13" i="1"/>
  <c r="G16" i="1"/>
  <c r="G28" i="1"/>
  <c r="G31" i="1"/>
  <c r="G34" i="1"/>
  <c r="G37" i="1"/>
  <c r="G19" i="1"/>
  <c r="G40" i="1"/>
  <c r="G43" i="1"/>
  <c r="G46" i="1"/>
  <c r="G49" i="1"/>
  <c r="G52" i="1"/>
  <c r="G55" i="1"/>
  <c r="G58" i="1"/>
  <c r="G61" i="1"/>
  <c r="G88" i="1"/>
  <c r="G64" i="1"/>
  <c r="G67" i="1"/>
  <c r="G70" i="1"/>
  <c r="G73" i="1"/>
  <c r="G85" i="1"/>
  <c r="G76" i="1"/>
  <c r="G79" i="1"/>
  <c r="G82" i="1"/>
  <c r="G100" i="1"/>
  <c r="G97" i="1"/>
  <c r="G106" i="1"/>
  <c r="G109" i="1"/>
  <c r="G112" i="1"/>
  <c r="G121" i="1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I40" i="1" s="1"/>
  <c r="F212" i="3"/>
  <c r="F213" i="3"/>
  <c r="F214" i="3"/>
  <c r="F215" i="3"/>
  <c r="F216" i="3"/>
  <c r="F217" i="3"/>
  <c r="F218" i="3"/>
  <c r="F219" i="3"/>
  <c r="F220" i="3"/>
  <c r="I100" i="1"/>
  <c r="I84" i="1" l="1"/>
  <c r="I33" i="1"/>
  <c r="I129" i="1"/>
  <c r="I90" i="1"/>
  <c r="I72" i="1"/>
  <c r="I24" i="1"/>
  <c r="I111" i="1"/>
  <c r="I27" i="1"/>
  <c r="I114" i="1"/>
  <c r="I119" i="1"/>
  <c r="I78" i="1"/>
  <c r="I57" i="1"/>
  <c r="I32" i="1"/>
  <c r="I17" i="1"/>
  <c r="I56" i="1"/>
  <c r="I122" i="1"/>
  <c r="I35" i="1"/>
  <c r="I48" i="1"/>
  <c r="I107" i="1"/>
  <c r="I101" i="1"/>
  <c r="I98" i="1"/>
  <c r="I93" i="1"/>
  <c r="I53" i="1"/>
  <c r="I95" i="1"/>
  <c r="I38" i="1"/>
  <c r="I30" i="1"/>
  <c r="I80" i="1"/>
  <c r="I104" i="1"/>
  <c r="I12" i="1"/>
  <c r="I120" i="1"/>
  <c r="I63" i="1"/>
  <c r="I65" i="1"/>
  <c r="I105" i="1"/>
  <c r="I108" i="1"/>
  <c r="I21" i="1"/>
  <c r="I23" i="1"/>
  <c r="I42" i="1"/>
  <c r="I86" i="1"/>
  <c r="I9" i="1"/>
  <c r="I123" i="1"/>
  <c r="I81" i="1"/>
  <c r="I8" i="1"/>
  <c r="I113" i="1"/>
  <c r="I50" i="1"/>
  <c r="I83" i="1"/>
  <c r="I14" i="1"/>
  <c r="I92" i="1"/>
  <c r="I26" i="1"/>
  <c r="I41" i="1"/>
  <c r="I102" i="1"/>
  <c r="I11" i="1"/>
  <c r="I47" i="1"/>
  <c r="I66" i="1"/>
  <c r="I15" i="1"/>
  <c r="I68" i="1"/>
  <c r="I128" i="1"/>
  <c r="I77" i="1"/>
  <c r="I59" i="1"/>
  <c r="I110" i="1"/>
  <c r="I45" i="1"/>
  <c r="I117" i="1"/>
  <c r="I60" i="1"/>
  <c r="I44" i="1"/>
  <c r="I99" i="1"/>
  <c r="I36" i="1"/>
  <c r="I39" i="1"/>
  <c r="I71" i="1"/>
  <c r="I75" i="1"/>
  <c r="I74" i="1"/>
  <c r="I87" i="1"/>
  <c r="I29" i="1"/>
  <c r="I54" i="1"/>
  <c r="I6" i="1"/>
  <c r="I126" i="1"/>
  <c r="I96" i="1"/>
  <c r="I20" i="1"/>
  <c r="I69" i="1"/>
  <c r="I5" i="1"/>
  <c r="I125" i="1"/>
  <c r="I89" i="1"/>
  <c r="I18" i="1"/>
  <c r="I116" i="1"/>
  <c r="I51" i="1"/>
  <c r="I62" i="1"/>
  <c r="H100" i="1"/>
  <c r="J100" i="1"/>
  <c r="H40" i="1"/>
  <c r="J40" i="1"/>
  <c r="I109" i="1"/>
  <c r="I127" i="1"/>
  <c r="I115" i="1"/>
  <c r="I124" i="1"/>
  <c r="I118" i="1"/>
  <c r="I43" i="1"/>
  <c r="I121" i="1"/>
  <c r="I10" i="1"/>
  <c r="I85" i="1"/>
  <c r="I97" i="1"/>
  <c r="I61" i="1"/>
  <c r="I70" i="1"/>
  <c r="I67" i="1"/>
  <c r="I64" i="1"/>
  <c r="I88" i="1"/>
  <c r="I106" i="1"/>
  <c r="I16" i="1"/>
  <c r="I79" i="1"/>
  <c r="I112" i="1"/>
  <c r="I46" i="1"/>
  <c r="I13" i="1"/>
  <c r="I82" i="1"/>
  <c r="I49" i="1"/>
  <c r="I28" i="1"/>
  <c r="I76" i="1"/>
  <c r="I52" i="1"/>
  <c r="I31" i="1"/>
  <c r="I73" i="1"/>
  <c r="I22" i="1"/>
  <c r="I7" i="1"/>
  <c r="I55" i="1"/>
  <c r="I34" i="1"/>
  <c r="I25" i="1"/>
  <c r="I4" i="1"/>
  <c r="I37" i="1"/>
  <c r="I58" i="1"/>
  <c r="I19" i="1"/>
  <c r="I91" i="1"/>
  <c r="I94" i="1"/>
  <c r="I103" i="1"/>
  <c r="H45" i="1" l="1"/>
  <c r="J45" i="1"/>
  <c r="H128" i="1"/>
  <c r="J128" i="1"/>
  <c r="H47" i="1"/>
  <c r="J47" i="1"/>
  <c r="H26" i="1"/>
  <c r="J26" i="1"/>
  <c r="H50" i="1"/>
  <c r="J50" i="1"/>
  <c r="H123" i="1"/>
  <c r="J123" i="1"/>
  <c r="H23" i="1"/>
  <c r="J23" i="1"/>
  <c r="H65" i="1"/>
  <c r="J65" i="1"/>
  <c r="H104" i="1"/>
  <c r="J104" i="1"/>
  <c r="H95" i="1"/>
  <c r="J95" i="1"/>
  <c r="H101" i="1"/>
  <c r="J101" i="1"/>
  <c r="H122" i="1"/>
  <c r="J122" i="1"/>
  <c r="H57" i="1"/>
  <c r="J57" i="1"/>
  <c r="H27" i="1"/>
  <c r="J27" i="1"/>
  <c r="H90" i="1"/>
  <c r="J90" i="1"/>
  <c r="H44" i="1"/>
  <c r="J44" i="1"/>
  <c r="H110" i="1"/>
  <c r="J110" i="1"/>
  <c r="H68" i="1"/>
  <c r="J68" i="1"/>
  <c r="H11" i="1"/>
  <c r="J11" i="1"/>
  <c r="H92" i="1"/>
  <c r="J92" i="1"/>
  <c r="H113" i="1"/>
  <c r="J113" i="1"/>
  <c r="H9" i="1"/>
  <c r="J9" i="1"/>
  <c r="H21" i="1"/>
  <c r="J21" i="1"/>
  <c r="H63" i="1"/>
  <c r="J63" i="1"/>
  <c r="H80" i="1"/>
  <c r="J80" i="1"/>
  <c r="H53" i="1"/>
  <c r="J53" i="1"/>
  <c r="H107" i="1"/>
  <c r="J107" i="1"/>
  <c r="H56" i="1"/>
  <c r="J56" i="1"/>
  <c r="H78" i="1"/>
  <c r="J78" i="1"/>
  <c r="H111" i="1"/>
  <c r="J111" i="1"/>
  <c r="H129" i="1"/>
  <c r="J129" i="1"/>
  <c r="H59" i="1"/>
  <c r="J59" i="1"/>
  <c r="H15" i="1"/>
  <c r="J15" i="1"/>
  <c r="H102" i="1"/>
  <c r="J102" i="1"/>
  <c r="H14" i="1"/>
  <c r="J14" i="1"/>
  <c r="H8" i="1"/>
  <c r="J8" i="1"/>
  <c r="H86" i="1"/>
  <c r="J86" i="1"/>
  <c r="H108" i="1"/>
  <c r="J108" i="1"/>
  <c r="H120" i="1"/>
  <c r="J120" i="1"/>
  <c r="H30" i="1"/>
  <c r="J30" i="1"/>
  <c r="H93" i="1"/>
  <c r="J93" i="1"/>
  <c r="H48" i="1"/>
  <c r="J48" i="1"/>
  <c r="H17" i="1"/>
  <c r="J17" i="1"/>
  <c r="H119" i="1"/>
  <c r="J119" i="1"/>
  <c r="H24" i="1"/>
  <c r="J24" i="1"/>
  <c r="H33" i="1"/>
  <c r="J33" i="1"/>
  <c r="H62" i="1"/>
  <c r="J62" i="1"/>
  <c r="H89" i="1"/>
  <c r="J89" i="1"/>
  <c r="H20" i="1"/>
  <c r="J20" i="1"/>
  <c r="H54" i="1"/>
  <c r="J54" i="1"/>
  <c r="H75" i="1"/>
  <c r="J75" i="1"/>
  <c r="H99" i="1"/>
  <c r="J99" i="1"/>
  <c r="H51" i="1"/>
  <c r="J51" i="1"/>
  <c r="H125" i="1"/>
  <c r="J125" i="1"/>
  <c r="H96" i="1"/>
  <c r="J96" i="1"/>
  <c r="H29" i="1"/>
  <c r="J29" i="1"/>
  <c r="H71" i="1"/>
  <c r="J71" i="1"/>
  <c r="H116" i="1"/>
  <c r="J116" i="1"/>
  <c r="H5" i="1"/>
  <c r="J5" i="1"/>
  <c r="H126" i="1"/>
  <c r="J126" i="1"/>
  <c r="H87" i="1"/>
  <c r="J87" i="1"/>
  <c r="H39" i="1"/>
  <c r="J39" i="1"/>
  <c r="H60" i="1"/>
  <c r="J60" i="1"/>
  <c r="H18" i="1"/>
  <c r="J18" i="1"/>
  <c r="H69" i="1"/>
  <c r="J69" i="1"/>
  <c r="H6" i="1"/>
  <c r="J6" i="1"/>
  <c r="H74" i="1"/>
  <c r="J74" i="1"/>
  <c r="H36" i="1"/>
  <c r="J36" i="1"/>
  <c r="H117" i="1"/>
  <c r="J117" i="1"/>
  <c r="H77" i="1"/>
  <c r="J77" i="1"/>
  <c r="H66" i="1"/>
  <c r="J66" i="1"/>
  <c r="H41" i="1"/>
  <c r="J41" i="1"/>
  <c r="H83" i="1"/>
  <c r="J83" i="1"/>
  <c r="H81" i="1"/>
  <c r="J81" i="1"/>
  <c r="H42" i="1"/>
  <c r="J42" i="1"/>
  <c r="H105" i="1"/>
  <c r="J105" i="1"/>
  <c r="H12" i="1"/>
  <c r="J12" i="1"/>
  <c r="H38" i="1"/>
  <c r="J38" i="1"/>
  <c r="H98" i="1"/>
  <c r="J98" i="1"/>
  <c r="H35" i="1"/>
  <c r="J35" i="1"/>
  <c r="H32" i="1"/>
  <c r="J32" i="1"/>
  <c r="H114" i="1"/>
  <c r="J114" i="1"/>
  <c r="H72" i="1"/>
  <c r="J72" i="1"/>
  <c r="H84" i="1"/>
  <c r="J84" i="1"/>
  <c r="H4" i="1"/>
  <c r="J4" i="1"/>
  <c r="H127" i="1"/>
  <c r="J127" i="1"/>
  <c r="H58" i="1"/>
  <c r="J58" i="1"/>
  <c r="H73" i="1"/>
  <c r="J73" i="1"/>
  <c r="H46" i="1"/>
  <c r="J46" i="1"/>
  <c r="H70" i="1"/>
  <c r="J70" i="1"/>
  <c r="H124" i="1"/>
  <c r="J124" i="1"/>
  <c r="H31" i="1"/>
  <c r="J31" i="1"/>
  <c r="H97" i="1"/>
  <c r="J97" i="1"/>
  <c r="H16" i="1"/>
  <c r="J16" i="1"/>
  <c r="H85" i="1"/>
  <c r="J85" i="1"/>
  <c r="H109" i="1"/>
  <c r="J109" i="1"/>
  <c r="H37" i="1"/>
  <c r="J37" i="1"/>
  <c r="H79" i="1"/>
  <c r="J79" i="1"/>
  <c r="H103" i="1"/>
  <c r="J103" i="1"/>
  <c r="H34" i="1"/>
  <c r="J34" i="1"/>
  <c r="H28" i="1"/>
  <c r="J28" i="1"/>
  <c r="H106" i="1"/>
  <c r="J106" i="1"/>
  <c r="H10" i="1"/>
  <c r="J10" i="1"/>
  <c r="H115" i="1"/>
  <c r="J115" i="1"/>
  <c r="H76" i="1"/>
  <c r="J76" i="1"/>
  <c r="H94" i="1"/>
  <c r="J94" i="1"/>
  <c r="H55" i="1"/>
  <c r="J55" i="1"/>
  <c r="H49" i="1"/>
  <c r="J49" i="1"/>
  <c r="H88" i="1"/>
  <c r="J88" i="1"/>
  <c r="H121" i="1"/>
  <c r="J121" i="1"/>
  <c r="H61" i="1"/>
  <c r="J61" i="1"/>
  <c r="H25" i="1"/>
  <c r="J25" i="1"/>
  <c r="H7" i="1"/>
  <c r="J7" i="1"/>
  <c r="H82" i="1"/>
  <c r="J82" i="1"/>
  <c r="H64" i="1"/>
  <c r="J64" i="1"/>
  <c r="H43" i="1"/>
  <c r="J43" i="1"/>
  <c r="H112" i="1"/>
  <c r="J112" i="1"/>
  <c r="H52" i="1"/>
  <c r="J52" i="1"/>
  <c r="H91" i="1"/>
  <c r="J91" i="1"/>
  <c r="H19" i="1"/>
  <c r="J19" i="1"/>
  <c r="H22" i="1"/>
  <c r="J22" i="1"/>
  <c r="H13" i="1"/>
  <c r="J13" i="1"/>
  <c r="H67" i="1"/>
  <c r="J67" i="1"/>
  <c r="H118" i="1"/>
  <c r="J1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tc={A2F57137-99FA-454D-B88C-62F4ACE90A56}</author>
  </authors>
  <commentList>
    <comment ref="H3" authorId="0" shapeId="0" xr:uid="{A2F57137-99FA-454D-B88C-62F4ACE9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=IF([@[Actual Completion time (CT)]]="","not done yet","Complete")</t>
      </text>
    </comment>
  </commentList>
</comments>
</file>

<file path=xl/sharedStrings.xml><?xml version="1.0" encoding="utf-8"?>
<sst xmlns="http://schemas.openxmlformats.org/spreadsheetml/2006/main" count="5798" uniqueCount="1202">
  <si>
    <t>OWNER</t>
  </si>
  <si>
    <t>PROCESS_TYPE</t>
  </si>
  <si>
    <t>TABLE_NAME</t>
  </si>
  <si>
    <t>PROCESS_DATE</t>
  </si>
  <si>
    <t>FINISH_DATE_TIME</t>
  </si>
  <si>
    <t>Key</t>
  </si>
  <si>
    <t>Process Date</t>
  </si>
  <si>
    <t>Finish DateTime</t>
  </si>
  <si>
    <t>DEN</t>
  </si>
  <si>
    <t>UPDATE</t>
  </si>
  <si>
    <t>PAC_ACCOUNT</t>
  </si>
  <si>
    <t>2021-01-29</t>
  </si>
  <si>
    <t>2021-01-28 20:36:12</t>
  </si>
  <si>
    <t>PAG_AVAIL_GROUP</t>
  </si>
  <si>
    <t>PAP_AITM_PARM_VAL</t>
  </si>
  <si>
    <t>PAS_ACCT_SERV_ITM</t>
  </si>
  <si>
    <t>PAT_AVAIL_CATG</t>
  </si>
  <si>
    <t>PBK_TN_BLOCK</t>
  </si>
  <si>
    <t>PC</t>
  </si>
  <si>
    <t>2021-01-28 21:46:01</t>
  </si>
  <si>
    <t>PCA_CATG_ASSC</t>
  </si>
  <si>
    <t>2021-01-28 20:15:49</t>
  </si>
  <si>
    <t>PCI_CALL_CRD_INV</t>
  </si>
  <si>
    <t>PCP_CATG_PARM</t>
  </si>
  <si>
    <t>PCS_CCS_SPA</t>
  </si>
  <si>
    <t>PCT_CATG_ITM</t>
  </si>
  <si>
    <t>PEN_EXCEPTION_TN_DETAIL</t>
  </si>
  <si>
    <t>PFA_FACILITY_ASSOC</t>
  </si>
  <si>
    <t>PFC_FACILITY</t>
  </si>
  <si>
    <t>PFD_FIELD_IDENTIFIER</t>
  </si>
  <si>
    <t>PFT_FACILITY_TYPE</t>
  </si>
  <si>
    <t>PFV_FACILITY_VALUE</t>
  </si>
  <si>
    <t>PIG_INV_GROUP</t>
  </si>
  <si>
    <t>PIN_INVENTORY_TYPE</t>
  </si>
  <si>
    <t>PJP_JOPS_QUEUE</t>
  </si>
  <si>
    <t>PMA_MSAG_ADDR</t>
  </si>
  <si>
    <t>POI_ORD_LINE_ITM</t>
  </si>
  <si>
    <t>2021-01-28 21:39:29</t>
  </si>
  <si>
    <t>POM_ORDER_MESSAGE</t>
  </si>
  <si>
    <t>POV_ORD_LINE_PARM_VAL</t>
  </si>
  <si>
    <t>2021-01-28 21:34:50</t>
  </si>
  <si>
    <t>PPL_PROVISIONING_LEDGER</t>
  </si>
  <si>
    <t>PPM_PARM_ITM</t>
  </si>
  <si>
    <t>PSH_TN_SYMB_CATG_HIST</t>
  </si>
  <si>
    <t>PSV_IN_SERV_PARM_VAL</t>
  </si>
  <si>
    <t>PTE_TELEPHONE_EXCHANGE</t>
  </si>
  <si>
    <t>PTG_TN_EXCHG_GRP</t>
  </si>
  <si>
    <t>PTH_TN_HIST</t>
  </si>
  <si>
    <t>PTM_TSK_MSGS</t>
  </si>
  <si>
    <t>PTN_TN_INVENTORY</t>
  </si>
  <si>
    <t>PTP_ACCT_TPV_HIST</t>
  </si>
  <si>
    <t>PUDF</t>
  </si>
  <si>
    <t>2021-01-28 21:51:10</t>
  </si>
  <si>
    <t>PUD_USER_DEFINITION</t>
  </si>
  <si>
    <t>PWH_ORD_WRK_PLN_HIST</t>
  </si>
  <si>
    <t>PWI_ORD_WRK_PLN_ITM</t>
  </si>
  <si>
    <t>2021-01-28 21:09:43</t>
  </si>
  <si>
    <t>PWP_ORD_WRK_PLN</t>
  </si>
  <si>
    <t>UDF</t>
  </si>
  <si>
    <t>2021-01-28 20:32:16</t>
  </si>
  <si>
    <t>USC_USOC_CODES</t>
  </si>
  <si>
    <t>VIPACBT</t>
  </si>
  <si>
    <t>2021-01-28 23:06:00</t>
  </si>
  <si>
    <t>VIPACDT</t>
  </si>
  <si>
    <t>2021-01-28 22:47:07</t>
  </si>
  <si>
    <t>VIPACRT</t>
  </si>
  <si>
    <t>2021-01-28 23:07:00</t>
  </si>
  <si>
    <t>VIPADGT</t>
  </si>
  <si>
    <t>2021-01-29 01:42:34</t>
  </si>
  <si>
    <t>VIPADJT</t>
  </si>
  <si>
    <t>2021-01-22</t>
  </si>
  <si>
    <t>2021-01-22 05:30:14</t>
  </si>
  <si>
    <t>VIPAHBT</t>
  </si>
  <si>
    <t>2021-01-28 20:31:41</t>
  </si>
  <si>
    <t>VIPAHCT</t>
  </si>
  <si>
    <t>2021-01-28 20:31:34</t>
  </si>
  <si>
    <t>VIPAHGT</t>
  </si>
  <si>
    <t>2021-01-28 20:31:33</t>
  </si>
  <si>
    <t>VIPAHMT</t>
  </si>
  <si>
    <t>2021-01-28 20:31:44</t>
  </si>
  <si>
    <t>VIPAHPT</t>
  </si>
  <si>
    <t>2021-01-28 20:32:14</t>
  </si>
  <si>
    <t>VIPAHTT</t>
  </si>
  <si>
    <t>2021-01-28 20:31:42</t>
  </si>
  <si>
    <t>VIPAIUT</t>
  </si>
  <si>
    <t>2021-01-28 20:31:40</t>
  </si>
  <si>
    <t>VIPALAT</t>
  </si>
  <si>
    <t>2021-01-28 20:35:33</t>
  </si>
  <si>
    <t>VIPARPT</t>
  </si>
  <si>
    <t>2021-01-28 23:02:23</t>
  </si>
  <si>
    <t>VIPC26T</t>
  </si>
  <si>
    <t>2021-01-28 20:32:17</t>
  </si>
  <si>
    <t>VIPC32T</t>
  </si>
  <si>
    <t>2021-01-28 20:32:02</t>
  </si>
  <si>
    <t>VIPCATT</t>
  </si>
  <si>
    <t>2021-01-28 20:31:47</t>
  </si>
  <si>
    <t>VIPCCAT</t>
  </si>
  <si>
    <t>2021-01-28 20:35:22</t>
  </si>
  <si>
    <t>VIPCCTT</t>
  </si>
  <si>
    <t>2021-01-28 20:31:58</t>
  </si>
  <si>
    <t>VIPCCXT</t>
  </si>
  <si>
    <t>2021-01-28 20:31:56</t>
  </si>
  <si>
    <t>VIPCCYT</t>
  </si>
  <si>
    <t>2021-01-28 20:32:09</t>
  </si>
  <si>
    <t>VIPCDAT</t>
  </si>
  <si>
    <t>2021-01-28 20:32:19</t>
  </si>
  <si>
    <t>VIPCDBT</t>
  </si>
  <si>
    <t>VIPCDCT</t>
  </si>
  <si>
    <t>2021-01-28 20:32:06</t>
  </si>
  <si>
    <t>VIPCDRT</t>
  </si>
  <si>
    <t>VIPCECT</t>
  </si>
  <si>
    <t>2021-01-28 22:27:39</t>
  </si>
  <si>
    <t>VIPCEPT</t>
  </si>
  <si>
    <t>2021-01-28 20:32:23</t>
  </si>
  <si>
    <t>VIPCEQT</t>
  </si>
  <si>
    <t>2021-01-28 20:31:24</t>
  </si>
  <si>
    <t>VIPCERT</t>
  </si>
  <si>
    <t>2021-01-28 22:27:37</t>
  </si>
  <si>
    <t>VIPCHXT</t>
  </si>
  <si>
    <t>2021-01-28 20:32:13</t>
  </si>
  <si>
    <t>VIPCIPT</t>
  </si>
  <si>
    <t>2021-01-28 20:32:21</t>
  </si>
  <si>
    <t>VIPCKWT</t>
  </si>
  <si>
    <t>2021-01-28 22:27:36</t>
  </si>
  <si>
    <t>VIPCLAT</t>
  </si>
  <si>
    <t>2021-01-28 22:57:47</t>
  </si>
  <si>
    <t>VIPCLGT</t>
  </si>
  <si>
    <t>2021-01-28 20:31:21</t>
  </si>
  <si>
    <t>VIPCLST</t>
  </si>
  <si>
    <t>2021-01-28 20:32:01</t>
  </si>
  <si>
    <t>VIPCLTT</t>
  </si>
  <si>
    <t>VIPCMPT</t>
  </si>
  <si>
    <t>2021-01-28 22:27:38</t>
  </si>
  <si>
    <t>VIPCMTT</t>
  </si>
  <si>
    <t>VIPCNFT</t>
  </si>
  <si>
    <t>2021-01-28 22:54:14</t>
  </si>
  <si>
    <t>VIPCNOT</t>
  </si>
  <si>
    <t>VIPCODT</t>
  </si>
  <si>
    <t>2021-01-29 00:16:00</t>
  </si>
  <si>
    <t>VIPCOFT</t>
  </si>
  <si>
    <t>2021-01-29 00:15:00</t>
  </si>
  <si>
    <t>VIPCOLT</t>
  </si>
  <si>
    <t>2021-01-28 22:57:49</t>
  </si>
  <si>
    <t>VIPCONT</t>
  </si>
  <si>
    <t>2021-01-28 20:31:55</t>
  </si>
  <si>
    <t>VIPCPLT</t>
  </si>
  <si>
    <t>2021-01-29 00:12:00</t>
  </si>
  <si>
    <t>VIPCRRT</t>
  </si>
  <si>
    <t>2021-01-29 02:10:08</t>
  </si>
  <si>
    <t>VIPCSAT</t>
  </si>
  <si>
    <t>2021-01-29 02:11:39</t>
  </si>
  <si>
    <t>VIPCSLT</t>
  </si>
  <si>
    <t>2021-01-28 20:31:26</t>
  </si>
  <si>
    <t>VIPCSPT</t>
  </si>
  <si>
    <t>VIPCSST</t>
  </si>
  <si>
    <t>2021-01-28 23:16:18</t>
  </si>
  <si>
    <t>VIPCTDT</t>
  </si>
  <si>
    <t>2021-01-28 20:31:25</t>
  </si>
  <si>
    <t>VIPCTMT</t>
  </si>
  <si>
    <t>2021-01-28 20:57:32</t>
  </si>
  <si>
    <t>VIPCTZT</t>
  </si>
  <si>
    <t>2021-01-28 20:32:12</t>
  </si>
  <si>
    <t>VIPCUCT</t>
  </si>
  <si>
    <t>VIPCUST</t>
  </si>
  <si>
    <t>VIPCWST</t>
  </si>
  <si>
    <t>2021-01-29 00:18:00</t>
  </si>
  <si>
    <t>VIPDART</t>
  </si>
  <si>
    <t>2021-01-22 05:29:54</t>
  </si>
  <si>
    <t>VIPDBDT</t>
  </si>
  <si>
    <t>2021-01-22 05:29:50</t>
  </si>
  <si>
    <t>VIPDCAT</t>
  </si>
  <si>
    <t>2021-01-22 05:29:47</t>
  </si>
  <si>
    <t>VIPDCET</t>
  </si>
  <si>
    <t>VIPDCUT</t>
  </si>
  <si>
    <t>2021-01-28 20:32:28</t>
  </si>
  <si>
    <t>VIPDEUT</t>
  </si>
  <si>
    <t>2021-01-22 05:29:48</t>
  </si>
  <si>
    <t>VIPDLMT</t>
  </si>
  <si>
    <t>2021-01-22 05:29:56</t>
  </si>
  <si>
    <t>VIPDLPT</t>
  </si>
  <si>
    <t>2021-01-29 01:42:35</t>
  </si>
  <si>
    <t>VIPDLQT</t>
  </si>
  <si>
    <t>VIPDLST</t>
  </si>
  <si>
    <t>2021-01-22 05:35:35</t>
  </si>
  <si>
    <t>VIPDLTT</t>
  </si>
  <si>
    <t>2021-01-22 05:29:45</t>
  </si>
  <si>
    <t>VIPDMAT</t>
  </si>
  <si>
    <t>2021-01-22 05:29:51</t>
  </si>
  <si>
    <t>VIPDPBT</t>
  </si>
  <si>
    <t>2021-01-28 20:32:26</t>
  </si>
  <si>
    <t>VIPDPST</t>
  </si>
  <si>
    <t>2021-01-28 20:31:31</t>
  </si>
  <si>
    <t>VIPDQAT</t>
  </si>
  <si>
    <t>2021-01-28 20:32:24</t>
  </si>
  <si>
    <t>VIPDQVT</t>
  </si>
  <si>
    <t>VIPDSCT</t>
  </si>
  <si>
    <t>2021-01-28 20:32:15</t>
  </si>
  <si>
    <t>VIPEAIT</t>
  </si>
  <si>
    <t>2021-01-29 02:10:07</t>
  </si>
  <si>
    <t>VIPECST</t>
  </si>
  <si>
    <t>VIPEPDT</t>
  </si>
  <si>
    <t>2021-01-28 20:32:32</t>
  </si>
  <si>
    <t>VIPEQCT</t>
  </si>
  <si>
    <t>2021-01-28 20:42:47</t>
  </si>
  <si>
    <t>VIPEQET</t>
  </si>
  <si>
    <t>VIPEQPT</t>
  </si>
  <si>
    <t>VIPEQST</t>
  </si>
  <si>
    <t>VIPESBT</t>
  </si>
  <si>
    <t>2021-01-28 22:21:00</t>
  </si>
  <si>
    <t>VIPETFT</t>
  </si>
  <si>
    <t>2021-01-28 20:31:30</t>
  </si>
  <si>
    <t>VIPETTT</t>
  </si>
  <si>
    <t>2021-01-28 20:31:52</t>
  </si>
  <si>
    <t>VIPEURT</t>
  </si>
  <si>
    <t>2021-01-22 03:17:14</t>
  </si>
  <si>
    <t>VIPEUTT</t>
  </si>
  <si>
    <t>2021-01-22 04:27:03</t>
  </si>
  <si>
    <t>VIPEVBT</t>
  </si>
  <si>
    <t>2021-01-28 20:42:33</t>
  </si>
  <si>
    <t>VIPEVDT</t>
  </si>
  <si>
    <t>VIPEVPT</t>
  </si>
  <si>
    <t>VIPEVST</t>
  </si>
  <si>
    <t>VIPFDPT</t>
  </si>
  <si>
    <t>VIPGPST</t>
  </si>
  <si>
    <t>2021-01-28 23:19:44</t>
  </si>
  <si>
    <t>VIPHSBT</t>
  </si>
  <si>
    <t>2021-01-28 20:32:11</t>
  </si>
  <si>
    <t>VIPHSLT</t>
  </si>
  <si>
    <t>VIPHSMT</t>
  </si>
  <si>
    <t>VIPITVT</t>
  </si>
  <si>
    <t>2021-01-28 23:24:42</t>
  </si>
  <si>
    <t>VIPLTRT</t>
  </si>
  <si>
    <t>VIPMN1T</t>
  </si>
  <si>
    <t>VIPMONT</t>
  </si>
  <si>
    <t>2021-01-29 00:11:00</t>
  </si>
  <si>
    <t>VIPNEQT</t>
  </si>
  <si>
    <t>2021-01-28 20:31:50</t>
  </si>
  <si>
    <t>VIPNQLT</t>
  </si>
  <si>
    <t>VIPOAJT</t>
  </si>
  <si>
    <t>2021-01-28 20:33:15</t>
  </si>
  <si>
    <t>VIPOAOT</t>
  </si>
  <si>
    <t>VIPOC1T</t>
  </si>
  <si>
    <t>2021-01-28 20:17:59</t>
  </si>
  <si>
    <t>VIPOCIT</t>
  </si>
  <si>
    <t>2021-01-28 22:55:00</t>
  </si>
  <si>
    <t>VIPOCLT</t>
  </si>
  <si>
    <t>2021-01-28 20:32:48</t>
  </si>
  <si>
    <t>VIPOCRT</t>
  </si>
  <si>
    <t>2021-01-28 20:32:58</t>
  </si>
  <si>
    <t>VIPODIT</t>
  </si>
  <si>
    <t>2021-01-28 20:50:29</t>
  </si>
  <si>
    <t>VIPODST</t>
  </si>
  <si>
    <t>VIPOHIT</t>
  </si>
  <si>
    <t>VIPOJAT</t>
  </si>
  <si>
    <t>VIPOJBT</t>
  </si>
  <si>
    <t>VIPOJCT</t>
  </si>
  <si>
    <t>VIPOJNT</t>
  </si>
  <si>
    <t>VIPOOIT</t>
  </si>
  <si>
    <t>2021-01-28 21:58:08</t>
  </si>
  <si>
    <t>VIPOOLT</t>
  </si>
  <si>
    <t>VIPOORT</t>
  </si>
  <si>
    <t>VIPOPET</t>
  </si>
  <si>
    <t>2021-01-28 20:31:35</t>
  </si>
  <si>
    <t>VIPOPIT</t>
  </si>
  <si>
    <t>2021-01-28 20:33:34</t>
  </si>
  <si>
    <t>VIPOPPT</t>
  </si>
  <si>
    <t>2021-01-28 20:31:54</t>
  </si>
  <si>
    <t>VIPORET</t>
  </si>
  <si>
    <t>2021-01-28 20:44:03</t>
  </si>
  <si>
    <t>VIPOSIT</t>
  </si>
  <si>
    <t>2021-01-28 22:36:00</t>
  </si>
  <si>
    <t>VIPOTBT</t>
  </si>
  <si>
    <t>VIPOTDT</t>
  </si>
  <si>
    <t>2021-01-29 02:10:09</t>
  </si>
  <si>
    <t>VIPOTLT</t>
  </si>
  <si>
    <t>VIPOTRT</t>
  </si>
  <si>
    <t>VIPPAJT</t>
  </si>
  <si>
    <t>2021-01-28 22:17:00</t>
  </si>
  <si>
    <t>VIPPART</t>
  </si>
  <si>
    <t>2021-01-28 20:35:23</t>
  </si>
  <si>
    <t>VIPPDAT</t>
  </si>
  <si>
    <t>VIPPLCT</t>
  </si>
  <si>
    <t>VIPRQBT</t>
  </si>
  <si>
    <t>2021-01-28 20:33:39</t>
  </si>
  <si>
    <t>VIPRQST</t>
  </si>
  <si>
    <t>2021-01-28 20:30:47</t>
  </si>
  <si>
    <t>VIPRTYT</t>
  </si>
  <si>
    <t>2021-01-22 05:31:49</t>
  </si>
  <si>
    <t>VIPSACT</t>
  </si>
  <si>
    <t>2021-01-28 20:36:28</t>
  </si>
  <si>
    <t>VIPSB2T</t>
  </si>
  <si>
    <t>VIPSBBT</t>
  </si>
  <si>
    <t>2021-01-28 22:45:12</t>
  </si>
  <si>
    <t>VIPSBOT</t>
  </si>
  <si>
    <t>VIPSBTT</t>
  </si>
  <si>
    <t>VIPSBUT</t>
  </si>
  <si>
    <t>VIPSCHT</t>
  </si>
  <si>
    <t>VIPSEQT</t>
  </si>
  <si>
    <t>VIPSVPT</t>
  </si>
  <si>
    <t>2021-01-29 02:10:04</t>
  </si>
  <si>
    <t>VIPTAST</t>
  </si>
  <si>
    <t>2021-01-28 23:17:18</t>
  </si>
  <si>
    <t>VIPTAXT</t>
  </si>
  <si>
    <t>2021-01-28 22:42:34</t>
  </si>
  <si>
    <t>VIPTBRT</t>
  </si>
  <si>
    <t>2021-01-28 23:17:09</t>
  </si>
  <si>
    <t>VIPTBUT</t>
  </si>
  <si>
    <t>2021-01-28 23:17:07</t>
  </si>
  <si>
    <t>VIPTCCT</t>
  </si>
  <si>
    <t>2021-01-28 23:16:51</t>
  </si>
  <si>
    <t>VIPTCNT</t>
  </si>
  <si>
    <t>2021-01-28 23:16:50</t>
  </si>
  <si>
    <t>VIPTCST</t>
  </si>
  <si>
    <t>2021-01-28 23:16:42</t>
  </si>
  <si>
    <t>VIPTDFT</t>
  </si>
  <si>
    <t>2021-01-28 23:17:08</t>
  </si>
  <si>
    <t>VIPTDRT</t>
  </si>
  <si>
    <t>2021-01-28 23:16:19</t>
  </si>
  <si>
    <t>VIPTECT</t>
  </si>
  <si>
    <t>2021-01-28 23:16:33</t>
  </si>
  <si>
    <t>VIPTFCT</t>
  </si>
  <si>
    <t>2021-01-28 23:22:00</t>
  </si>
  <si>
    <t>VIPTHDT</t>
  </si>
  <si>
    <t>2021-01-28 23:16:24</t>
  </si>
  <si>
    <t>VIPTHRT</t>
  </si>
  <si>
    <t>2021-01-28 23:16:54</t>
  </si>
  <si>
    <t>VIPTHVT</t>
  </si>
  <si>
    <t>VIPTLDT</t>
  </si>
  <si>
    <t>2021-01-28 23:16:41</t>
  </si>
  <si>
    <t>VIPTLST</t>
  </si>
  <si>
    <t>2021-01-28 23:17:00</t>
  </si>
  <si>
    <t>VIPTPBT</t>
  </si>
  <si>
    <t>VIPTPMT</t>
  </si>
  <si>
    <t>2021-01-28 23:16:34</t>
  </si>
  <si>
    <t>VIPTPRT</t>
  </si>
  <si>
    <t>2021-01-28 23:16:44</t>
  </si>
  <si>
    <t>VIPTSCT</t>
  </si>
  <si>
    <t>2021-01-28 23:16:28</t>
  </si>
  <si>
    <t>VIPTSFT</t>
  </si>
  <si>
    <t>2021-01-28 23:17:06</t>
  </si>
  <si>
    <t>VIPTSGT</t>
  </si>
  <si>
    <t>VIPTSHT</t>
  </si>
  <si>
    <t>2021-01-28 23:21:00</t>
  </si>
  <si>
    <t>VIPTSKT</t>
  </si>
  <si>
    <t>2021-01-28 23:17:01</t>
  </si>
  <si>
    <t>VIPTSLT</t>
  </si>
  <si>
    <t>2021-01-28 23:17:14</t>
  </si>
  <si>
    <t>VIPTSRT</t>
  </si>
  <si>
    <t>2021-01-28 23:16:27</t>
  </si>
  <si>
    <t>VIPTSST</t>
  </si>
  <si>
    <t>VIPTSTT</t>
  </si>
  <si>
    <t>2021-01-28 23:25:00</t>
  </si>
  <si>
    <t>VIPTTLT</t>
  </si>
  <si>
    <t>2021-01-28 23:16:26</t>
  </si>
  <si>
    <t>VIPTUPT</t>
  </si>
  <si>
    <t>VIPTUST</t>
  </si>
  <si>
    <t>2021-01-28 22:10:58</t>
  </si>
  <si>
    <t>VIPTX1T</t>
  </si>
  <si>
    <t>2021-01-28 22:11:13</t>
  </si>
  <si>
    <t>VIPTXMT</t>
  </si>
  <si>
    <t>2021-01-28 20:31:49</t>
  </si>
  <si>
    <t>VIPTXRT</t>
  </si>
  <si>
    <t>VIPTXTT</t>
  </si>
  <si>
    <t>VIPXAAT</t>
  </si>
  <si>
    <t>2021-01-28 21:03:06</t>
  </si>
  <si>
    <t>VIPXCAT</t>
  </si>
  <si>
    <t>2021-01-28 21:03:20</t>
  </si>
  <si>
    <t>VIPXPMT</t>
  </si>
  <si>
    <t>2021-01-28 21:03:09</t>
  </si>
  <si>
    <t>SLC</t>
  </si>
  <si>
    <t>2021-01-28 21:16:03</t>
  </si>
  <si>
    <t>2021-01-28 21:50:52</t>
  </si>
  <si>
    <t>2021-01-29 00:34:55</t>
  </si>
  <si>
    <t>2021-01-28 23:59:41</t>
  </si>
  <si>
    <t>2021-01-28 22:55:48</t>
  </si>
  <si>
    <t>2021-01-22 05:27:55</t>
  </si>
  <si>
    <t>2021-01-28 20:21:39</t>
  </si>
  <si>
    <t>2021-01-28 20:21:29</t>
  </si>
  <si>
    <t>2021-01-28 20:21:28</t>
  </si>
  <si>
    <t>2021-01-28 20:21:43</t>
  </si>
  <si>
    <t>2021-01-28 20:22:09</t>
  </si>
  <si>
    <t>2021-01-28 20:21:40</t>
  </si>
  <si>
    <t>2021-01-28 20:21:36</t>
  </si>
  <si>
    <t>2021-01-28 20:23:20</t>
  </si>
  <si>
    <t>2021-01-28 20:22:12</t>
  </si>
  <si>
    <t>2021-01-28 20:21:59</t>
  </si>
  <si>
    <t>2021-01-28 20:21:46</t>
  </si>
  <si>
    <t>2021-01-28 20:35:04</t>
  </si>
  <si>
    <t>2021-01-28 20:21:55</t>
  </si>
  <si>
    <t>2021-01-28 20:21:50</t>
  </si>
  <si>
    <t>2021-01-28 20:22:06</t>
  </si>
  <si>
    <t>2021-01-28 20:22:15</t>
  </si>
  <si>
    <t>2021-01-28 20:22:10</t>
  </si>
  <si>
    <t>2021-01-28 20:22:03</t>
  </si>
  <si>
    <t>2021-01-28 20:21:54</t>
  </si>
  <si>
    <t>2021-01-28 22:26:59</t>
  </si>
  <si>
    <t>2021-01-28 20:22:17</t>
  </si>
  <si>
    <t>2021-01-28 20:21:15</t>
  </si>
  <si>
    <t>2021-01-28 22:27:01</t>
  </si>
  <si>
    <t>2021-01-28 22:57:14</t>
  </si>
  <si>
    <t>2021-01-28 20:21:17</t>
  </si>
  <si>
    <t>2021-01-28 20:21:58</t>
  </si>
  <si>
    <t>2021-01-28 20:22:07</t>
  </si>
  <si>
    <t>2021-01-28 22:27:00</t>
  </si>
  <si>
    <t>2021-01-28 20:21:57</t>
  </si>
  <si>
    <t>2021-01-28 22:53:46</t>
  </si>
  <si>
    <t>2021-01-28 22:53:47</t>
  </si>
  <si>
    <t>2021-01-29 00:10:52</t>
  </si>
  <si>
    <t>2021-01-29 00:13:47</t>
  </si>
  <si>
    <t>2021-01-28 22:57:20</t>
  </si>
  <si>
    <t>2021-01-28 20:21:47</t>
  </si>
  <si>
    <t>2021-01-29 00:13:40</t>
  </si>
  <si>
    <t>2021-01-29 02:09:27</t>
  </si>
  <si>
    <t>2021-01-28 20:21:23</t>
  </si>
  <si>
    <t>2021-01-28 23:06:29</t>
  </si>
  <si>
    <t>2021-01-28 20:21:22</t>
  </si>
  <si>
    <t>2021-01-28 20:21:51</t>
  </si>
  <si>
    <t>2021-01-29 00:12:41</t>
  </si>
  <si>
    <t>2021-01-22 05:27:34</t>
  </si>
  <si>
    <t>2021-01-22 05:27:43</t>
  </si>
  <si>
    <t>2021-01-28 20:22:20</t>
  </si>
  <si>
    <t>2021-01-22 05:27:42</t>
  </si>
  <si>
    <t>2021-01-22 05:27:52</t>
  </si>
  <si>
    <t>2021-01-22 05:35:50</t>
  </si>
  <si>
    <t>2021-01-22 05:27:36</t>
  </si>
  <si>
    <t>2021-01-28 20:22:14</t>
  </si>
  <si>
    <t>2021-01-28 20:21:25</t>
  </si>
  <si>
    <t>2021-01-28 20:22:19</t>
  </si>
  <si>
    <t>2021-01-29 02:09:28</t>
  </si>
  <si>
    <t>2021-01-28 20:24:59</t>
  </si>
  <si>
    <t>2021-01-28 22:01:17</t>
  </si>
  <si>
    <t>2021-01-28 20:21:53</t>
  </si>
  <si>
    <t>2021-01-22 03:15:28</t>
  </si>
  <si>
    <t>2021-01-22 04:11:47</t>
  </si>
  <si>
    <t>2021-01-28 20:42:21</t>
  </si>
  <si>
    <t>2021-01-28 23:07:22</t>
  </si>
  <si>
    <t>2021-01-28 20:21:34</t>
  </si>
  <si>
    <t>2021-01-28 23:19:49</t>
  </si>
  <si>
    <t>2021-01-28 23:02:00</t>
  </si>
  <si>
    <t>2021-01-28 23:09:00</t>
  </si>
  <si>
    <t>2021-01-28 20:21:37</t>
  </si>
  <si>
    <t>2021-01-28 20:16:24</t>
  </si>
  <si>
    <t>2021-01-28 22:51:00</t>
  </si>
  <si>
    <t>2021-01-28 20:22:24</t>
  </si>
  <si>
    <t>2021-01-28 20:22:28</t>
  </si>
  <si>
    <t>2021-01-28 20:53:57</t>
  </si>
  <si>
    <t>2021-01-28 20:22:01</t>
  </si>
  <si>
    <t>2021-01-28 20:22:04</t>
  </si>
  <si>
    <t>2021-01-29 02:11:37</t>
  </si>
  <si>
    <t>2021-01-28 21:46:36</t>
  </si>
  <si>
    <t>2021-01-28 20:21:32</t>
  </si>
  <si>
    <t>2021-01-28 20:22:29</t>
  </si>
  <si>
    <t>2021-01-28 20:44:40</t>
  </si>
  <si>
    <t>2021-01-28 22:34:00</t>
  </si>
  <si>
    <t>2021-01-29 02:09:29</t>
  </si>
  <si>
    <t>2021-01-28 22:19:00</t>
  </si>
  <si>
    <t>2021-01-22 05:31:26</t>
  </si>
  <si>
    <t>2021-01-28 22:45:05</t>
  </si>
  <si>
    <t>2021-01-28 20:21:49</t>
  </si>
  <si>
    <t>2021-01-28 20:36:10</t>
  </si>
  <si>
    <t>2021-01-29 02:09:44</t>
  </si>
  <si>
    <t>2021-01-28 23:07:04</t>
  </si>
  <si>
    <t>2021-01-28 22:44:51</t>
  </si>
  <si>
    <t>2021-01-28 23:07:21</t>
  </si>
  <si>
    <t>2021-01-28 23:07:11</t>
  </si>
  <si>
    <t>2021-01-28 23:06:58</t>
  </si>
  <si>
    <t>2021-01-28 23:06:55</t>
  </si>
  <si>
    <t>2021-01-28 23:06:49</t>
  </si>
  <si>
    <t>2021-01-28 23:07:15</t>
  </si>
  <si>
    <t>2021-01-28 23:06:36</t>
  </si>
  <si>
    <t>2021-01-28 23:06:44</t>
  </si>
  <si>
    <t>2021-01-28 23:06:37</t>
  </si>
  <si>
    <t>2021-01-28 23:07:02</t>
  </si>
  <si>
    <t>2021-01-28 23:06:35</t>
  </si>
  <si>
    <t>2021-01-28 23:06:48</t>
  </si>
  <si>
    <t>2021-01-28 23:07:06</t>
  </si>
  <si>
    <t>2021-01-28 23:06:46</t>
  </si>
  <si>
    <t>2021-01-28 23:06:51</t>
  </si>
  <si>
    <t>2021-01-28 23:06:42</t>
  </si>
  <si>
    <t>2021-01-28 23:07:14</t>
  </si>
  <si>
    <t>2021-01-28 23:07:08</t>
  </si>
  <si>
    <t>2021-01-28 23:07:26</t>
  </si>
  <si>
    <t>2021-01-28 23:06:40</t>
  </si>
  <si>
    <t>2021-01-28 22:02:59</t>
  </si>
  <si>
    <t>2021-01-28 22:07:29</t>
  </si>
  <si>
    <t>2021-01-28 20:21:21</t>
  </si>
  <si>
    <t>2021-01-28 21:03:27</t>
  </si>
  <si>
    <t>2021-01-28 21:03:31</t>
  </si>
  <si>
    <t>2021-01-28 21:03:26</t>
  </si>
  <si>
    <t>WOM</t>
  </si>
  <si>
    <t>2021-01-28 21:06:03</t>
  </si>
  <si>
    <t>2021-01-28 21:34:35</t>
  </si>
  <si>
    <t>2021-01-29 00:15:17</t>
  </si>
  <si>
    <t>2021-01-29 00:14:06</t>
  </si>
  <si>
    <t>2021-01-28 23:08:00</t>
  </si>
  <si>
    <t>2021-01-28 22:57:15</t>
  </si>
  <si>
    <t>2021-01-28 23:10:00</t>
  </si>
  <si>
    <t>2021-01-22 05:27:29</t>
  </si>
  <si>
    <t>2021-01-28 20:20:12</t>
  </si>
  <si>
    <t>2021-01-28 20:19:58</t>
  </si>
  <si>
    <t>2021-01-28 20:20:22</t>
  </si>
  <si>
    <t>2021-01-28 20:20:59</t>
  </si>
  <si>
    <t>2021-01-28 20:20:14</t>
  </si>
  <si>
    <t>2021-01-28 20:20:09</t>
  </si>
  <si>
    <t>2021-01-28 20:23:33</t>
  </si>
  <si>
    <t>2021-01-28 23:02:24</t>
  </si>
  <si>
    <t>2021-01-28 20:21:02</t>
  </si>
  <si>
    <t>2021-01-28 20:20:38</t>
  </si>
  <si>
    <t>2021-01-28 20:20:23</t>
  </si>
  <si>
    <t>2021-01-28 20:20:31</t>
  </si>
  <si>
    <t>2021-01-28 20:20:28</t>
  </si>
  <si>
    <t>2021-01-28 20:20:45</t>
  </si>
  <si>
    <t>2021-01-28 20:21:06</t>
  </si>
  <si>
    <t>2021-01-28 20:20:44</t>
  </si>
  <si>
    <t>2021-01-28 20:20:34</t>
  </si>
  <si>
    <t>2021-01-28 20:21:08</t>
  </si>
  <si>
    <t>2021-01-28 20:19:45</t>
  </si>
  <si>
    <t>2021-01-28 20:20:55</t>
  </si>
  <si>
    <t>2021-01-28 22:57:19</t>
  </si>
  <si>
    <t>2021-01-28 20:19:42</t>
  </si>
  <si>
    <t>2021-01-28 20:20:37</t>
  </si>
  <si>
    <t>2021-01-28 20:20:50</t>
  </si>
  <si>
    <t>2021-01-28 23:17:27</t>
  </si>
  <si>
    <t>2021-01-28 23:17:47</t>
  </si>
  <si>
    <t>2021-01-28 22:57:24</t>
  </si>
  <si>
    <t>2021-01-28 20:20:26</t>
  </si>
  <si>
    <t>2021-01-28 23:17:51</t>
  </si>
  <si>
    <t>2021-01-28 20:19:52</t>
  </si>
  <si>
    <t>2021-01-28 20:20:15</t>
  </si>
  <si>
    <t>2021-01-28 23:05:33</t>
  </si>
  <si>
    <t>2021-01-28 20:19:51</t>
  </si>
  <si>
    <t>2021-01-28 20:20:56</t>
  </si>
  <si>
    <t>2021-01-28 20:20:33</t>
  </si>
  <si>
    <t>2021-01-28 23:20:43</t>
  </si>
  <si>
    <t>2021-01-22 05:27:19</t>
  </si>
  <si>
    <t>2021-01-22 05:27:23</t>
  </si>
  <si>
    <t>2021-01-22 05:27:22</t>
  </si>
  <si>
    <t>2021-01-28 20:21:13</t>
  </si>
  <si>
    <t>2021-01-22 05:27:21</t>
  </si>
  <si>
    <t>2021-01-22 05:27:24</t>
  </si>
  <si>
    <t>2021-01-22 05:35:36</t>
  </si>
  <si>
    <t>2021-01-28 20:21:00</t>
  </si>
  <si>
    <t>2021-01-28 20:19:49</t>
  </si>
  <si>
    <t>2021-01-28 20:21:10</t>
  </si>
  <si>
    <t>2021-01-29 02:09:25</t>
  </si>
  <si>
    <t>2021-01-28 20:21:14</t>
  </si>
  <si>
    <t>2021-01-28 20:26:18</t>
  </si>
  <si>
    <t>2021-01-28 22:06:32</t>
  </si>
  <si>
    <t>2021-01-28 20:19:55</t>
  </si>
  <si>
    <t>2021-01-28 20:20:29</t>
  </si>
  <si>
    <t>2021-01-22 03:16:33</t>
  </si>
  <si>
    <t>2021-01-22 04:14:15</t>
  </si>
  <si>
    <t>2021-01-28 20:42:19</t>
  </si>
  <si>
    <t>2021-01-28 20:21:12</t>
  </si>
  <si>
    <t>2021-01-28 23:12:24</t>
  </si>
  <si>
    <t>2021-01-28 23:23:31</t>
  </si>
  <si>
    <t>2021-01-28 20:20:24</t>
  </si>
  <si>
    <t>2021-01-28 20:18:31</t>
  </si>
  <si>
    <t>2021-01-28 22:54:00</t>
  </si>
  <si>
    <t>2021-01-28 20:21:41</t>
  </si>
  <si>
    <t>2021-01-28 20:54:18</t>
  </si>
  <si>
    <t>2021-01-28 20:21:01</t>
  </si>
  <si>
    <t>2021-01-28 21:57:08</t>
  </si>
  <si>
    <t>2021-01-28 20:20:05</t>
  </si>
  <si>
    <t>2021-01-28 20:22:02</t>
  </si>
  <si>
    <t>2021-01-28 20:44:48</t>
  </si>
  <si>
    <t>2021-01-29 02:09:41</t>
  </si>
  <si>
    <t>2021-01-28 20:21:42</t>
  </si>
  <si>
    <t>2021-01-28 22:16:00</t>
  </si>
  <si>
    <t>2021-01-28 20:20:02</t>
  </si>
  <si>
    <t>2021-01-28 20:20:30</t>
  </si>
  <si>
    <t>2021-01-22 05:31:24</t>
  </si>
  <si>
    <t>2021-01-28 22:45:30</t>
  </si>
  <si>
    <t>2021-01-29 02:09:42</t>
  </si>
  <si>
    <t>2021-01-28 23:06:26</t>
  </si>
  <si>
    <t>2021-01-28 22:44:50</t>
  </si>
  <si>
    <t>2021-01-28 23:06:22</t>
  </si>
  <si>
    <t>2021-01-28 23:06:14</t>
  </si>
  <si>
    <t>2021-01-28 23:06:01</t>
  </si>
  <si>
    <t>2021-01-28 23:05:54</t>
  </si>
  <si>
    <t>2021-01-28 23:06:17</t>
  </si>
  <si>
    <t>2021-01-28 23:05:39</t>
  </si>
  <si>
    <t>2021-01-28 23:05:49</t>
  </si>
  <si>
    <t>2021-01-28 23:05:40</t>
  </si>
  <si>
    <t>2021-01-28 23:06:03</t>
  </si>
  <si>
    <t>2021-01-28 23:06:09</t>
  </si>
  <si>
    <t>2021-01-28 23:05:53</t>
  </si>
  <si>
    <t>2021-01-28 23:05:47</t>
  </si>
  <si>
    <t>2021-01-28 23:06:16</t>
  </si>
  <si>
    <t>2021-01-28 23:06:08</t>
  </si>
  <si>
    <t>2021-01-28 23:06:10</t>
  </si>
  <si>
    <t>2021-01-28 23:27:00</t>
  </si>
  <si>
    <t>2021-01-28 23:05:46</t>
  </si>
  <si>
    <t>VIPTTST</t>
  </si>
  <si>
    <t>2021-01-28 21:01:46</t>
  </si>
  <si>
    <t>2021-01-28 22:02:56</t>
  </si>
  <si>
    <t>2021-01-28 22:07:21</t>
  </si>
  <si>
    <t>2021-01-28 20:19:48</t>
  </si>
  <si>
    <t>2021-01-28 20:20:18</t>
  </si>
  <si>
    <t>2021-01-28 21:03:28</t>
  </si>
  <si>
    <t>2021-01-28 21:03:34</t>
  </si>
  <si>
    <t>Job Name</t>
  </si>
  <si>
    <t>Type</t>
  </si>
  <si>
    <t>Box Name</t>
  </si>
  <si>
    <t>Last Start</t>
  </si>
  <si>
    <t>Last End</t>
  </si>
  <si>
    <t>Status</t>
  </si>
  <si>
    <t>Exit</t>
  </si>
  <si>
    <t>SAND Prod - C01</t>
  </si>
  <si>
    <t>All Times are in US/Mountain</t>
  </si>
  <si>
    <t>Show / hide columns</t>
  </si>
  <si>
    <t>Refresh Job StatusSend Event</t>
  </si>
  <si>
    <t>VAN-INFOCAST-NDW-CEE-DLY</t>
  </si>
  <si>
    <t>BOX</t>
  </si>
  <si>
    <t>SUCCESS</t>
  </si>
  <si>
    <t>VAN-INFOCAST-NDW-CVT-DLY</t>
  </si>
  <si>
    <t>VAN-INFOCAST-NDW-CC1-DLY</t>
  </si>
  <si>
    <t>VAN-INFOCAST-NDW-OCI-DLY</t>
  </si>
  <si>
    <t>VAN-INFOCAST-NDW-OHI-DLY</t>
  </si>
  <si>
    <t>VAN-INFOCAST-NDW-OPI-DLY</t>
  </si>
  <si>
    <t>VAN-INFOCAST-NDW-OCR-DLY</t>
  </si>
  <si>
    <t>VAN-INFOCAST-NDW-OOR-DLY</t>
  </si>
  <si>
    <t>VAN-INFOCAST-NDW-OTR-DLY</t>
  </si>
  <si>
    <t>VAN-INFOCAST-NDW-JOB-DLY</t>
  </si>
  <si>
    <t>VAN-INFOCAST-NDW-EQP-DLY</t>
  </si>
  <si>
    <t>VAN-INFOCAST-NDW-HSE-DLY</t>
  </si>
  <si>
    <t>VAN-INFOCAST-NDW-CUS-DLY</t>
  </si>
  <si>
    <t>VAN-INFOCAST-NDW-CUC-DLY</t>
  </si>
  <si>
    <t>VAN-INFOCAST-NDW-HSM-DLY</t>
  </si>
  <si>
    <t>VAN-INFOCAST-NDW-HSL-DLY</t>
  </si>
  <si>
    <t>VAN-INFOCAST-NDW-EQC-DLY</t>
  </si>
  <si>
    <t>VAN-INFOCAST-NDW-EQE-DLY</t>
  </si>
  <si>
    <t>VAN-INFOCAST-NDW-EQS-DLY</t>
  </si>
  <si>
    <t>VAN-INFOCAST-NDW-NEQ-DLY</t>
  </si>
  <si>
    <t>VAN-INFOCAST-NDW-NQL-DLY</t>
  </si>
  <si>
    <t>VAN-INFOCAST-NDW-OJA-DLY</t>
  </si>
  <si>
    <t>VAN-INFOCAST-NDW-OCL-DLY</t>
  </si>
  <si>
    <t>VAN-INFOCAST-NDW-OOL-DLY</t>
  </si>
  <si>
    <t>VAN-INFOCAST-NDW-OTL-DLY</t>
  </si>
  <si>
    <t>VAN-INFOCAST-NDW-CAL-OCI-DLY</t>
  </si>
  <si>
    <t>VAN-INFOCAST-NDW-CAL-OHI-DLY</t>
  </si>
  <si>
    <t>VAN-INFOCAST-NDW-CAL-OPI-DLY</t>
  </si>
  <si>
    <t>VAN-INFOCAST-NDW-CAL-JOB-DLY</t>
  </si>
  <si>
    <t>VAN-INFOCAST-NDW-CAL-OJA-DLY</t>
  </si>
  <si>
    <t>VAN-INFOCAST-NDW-CAL-OCR-DLY</t>
  </si>
  <si>
    <t>VAN-INFOCAST-NDW-CAL-OOR-DLY</t>
  </si>
  <si>
    <t>VAN-INFOCAST-NDW-CAL-OTR-DLY</t>
  </si>
  <si>
    <t>VAN-INFOCAST-NDW-CAL-OCL-DLY</t>
  </si>
  <si>
    <t>VAN-INFOCAST-NDW-CAL-OOL-DLY</t>
  </si>
  <si>
    <t>VAN-INFOCAST-NDW-CAL-OTL-DLY</t>
  </si>
  <si>
    <t>VAN-INFOCAST-NDW-CAL-CUS-DLY</t>
  </si>
  <si>
    <t>VAN-INFOCAST-NDW-CAL-CUC-DLY</t>
  </si>
  <si>
    <t>VAN-INFOCAST-NDW-CAL-HSE-DLY</t>
  </si>
  <si>
    <t>VAN-INFOCAST-NDW-CAL-HSL-DLY</t>
  </si>
  <si>
    <t>VAN-INFOCAST-NDW-CAL-HSM-DLY</t>
  </si>
  <si>
    <t>VAN-INFOCAST-NDW-CAL-EQC-DLY</t>
  </si>
  <si>
    <t>VAN-INFOCAST-NDW-CAL-EQE-DLY</t>
  </si>
  <si>
    <t>VAN-INFOCAST-NDW-CAL-EQP-DLY</t>
  </si>
  <si>
    <t>VAN-INFOCAST-NDW-CAL-EQS-DLY</t>
  </si>
  <si>
    <t>VAN-INFOCAST-NDW-CAL-NEQ-DLY</t>
  </si>
  <si>
    <t>VAN-INFOCAST-NDW-CAL-NQL-DLY</t>
  </si>
  <si>
    <t>VAN-INFOCAST-NDW-CHI-OCI-DLY</t>
  </si>
  <si>
    <t>VAN-INFOCAST-NDW-CHI-OHI-DLY</t>
  </si>
  <si>
    <t>VAN-INFOCAST-NDW-CHI-OPI-DLY</t>
  </si>
  <si>
    <t>VAN-INFOCAST-NDW-CHI-JOB-DLY</t>
  </si>
  <si>
    <t>VAN-INFOCAST-NDW-CHI-OJA-DLY</t>
  </si>
  <si>
    <t>VAN-INFOCAST-NDW-CHI-OCR-DLY</t>
  </si>
  <si>
    <t>VAN-INFOCAST-NDW-CHI-OOR-DLY</t>
  </si>
  <si>
    <t>VAN-INFOCAST-NDW-CHI-OTR-DLY</t>
  </si>
  <si>
    <t>VAN-INFOCAST-NDW-CHI-OCL-DLY</t>
  </si>
  <si>
    <t>VAN-INFOCAST-NDW-CHI-OOL-DLY</t>
  </si>
  <si>
    <t>VAN-INFOCAST-NDW-CHI-OTL-DLY</t>
  </si>
  <si>
    <t>VAN-INFOCAST-NDW-CHI-CUS-DLY</t>
  </si>
  <si>
    <t>VAN-INFOCAST-NDW-CHI-CUC-DLY</t>
  </si>
  <si>
    <t>VAN-INFOCAST-NDW-CHI-HSE-DLY</t>
  </si>
  <si>
    <t>VAN-INFOCAST-NDW-CHI-HSL-DLY</t>
  </si>
  <si>
    <t>VAN-INFOCAST-NDW-CHI-HSM-DLY</t>
  </si>
  <si>
    <t>VAN-INFOCAST-NDW-CHI-EQC-DLY</t>
  </si>
  <si>
    <t>VAN-INFOCAST-NDW-CHI-EQE-DLY</t>
  </si>
  <si>
    <t>VAN-INFOCAST-NDW-CHI-EQP-DLY</t>
  </si>
  <si>
    <t>VAN-INFOCAST-NDW-CHI-EQS-DLY</t>
  </si>
  <si>
    <t>VAN-INFOCAST-NDW-CHI-NEQ-DLY</t>
  </si>
  <si>
    <t>VAN-INFOCAST-NDW-CHI-NQL-DLY</t>
  </si>
  <si>
    <t>VAN-INFOCAST-NDW-DEN-OCI-DLY</t>
  </si>
  <si>
    <t>VAN-INFOCAST-NDW-DEN-OHI-DLY</t>
  </si>
  <si>
    <t>VAN-INFOCAST-NDW-DEN-OPI-DLY</t>
  </si>
  <si>
    <t>VAN-INFOCAST-NDW-DEN-JOB-DLY</t>
  </si>
  <si>
    <t>VAN-INFOCAST-NDW-DEN-OJA-DLY</t>
  </si>
  <si>
    <t>VAN-INFOCAST-NDW-DEN-OCR-DLY</t>
  </si>
  <si>
    <t>VAN-INFOCAST-NDW-DEN-OOR-DLY</t>
  </si>
  <si>
    <t>VAN-INFOCAST-NDW-DEN-OTR-DLY</t>
  </si>
  <si>
    <t>VAN-INFOCAST-NDW-DEN-OCL-DLY</t>
  </si>
  <si>
    <t>VAN-INFOCAST-NDW-DEN-OOL-DLY</t>
  </si>
  <si>
    <t>VAN-INFOCAST-NDW-DEN-OTL-DLY</t>
  </si>
  <si>
    <t>VAN-INFOCAST-NDW-DEN-CUS-DLY</t>
  </si>
  <si>
    <t>VAN-INFOCAST-NDW-DEN-CUC-DLY</t>
  </si>
  <si>
    <t>VAN-INFOCAST-NDW-DEN-HSE-DLY</t>
  </si>
  <si>
    <t>VAN-INFOCAST-NDW-DEN-HSL-DLY</t>
  </si>
  <si>
    <t>VAN-INFOCAST-NDW-DEN-HSM-DLY</t>
  </si>
  <si>
    <t>VAN-INFOCAST-NDW-DEN-EQC-DLY</t>
  </si>
  <si>
    <t>VAN-INFOCAST-NDW-DEN-EQE-DLY</t>
  </si>
  <si>
    <t>VAN-INFOCAST-NDW-DEN-EQP-DLY</t>
  </si>
  <si>
    <t>VAN-INFOCAST-NDW-DEN-EQS-DLY</t>
  </si>
  <si>
    <t>VAN-INFOCAST-NDW-DEN-NEQ-DLY</t>
  </si>
  <si>
    <t>VAN-INFOCAST-NDW-DEN-NQL-DLY</t>
  </si>
  <si>
    <t>VAN-INFOCAST-NDW-FRE-OCI-DLY</t>
  </si>
  <si>
    <t>VAN-INFOCAST-NDW-FRE-OHI-DLY</t>
  </si>
  <si>
    <t>VAN-INFOCAST-NDW-FRE-OPI-DLY</t>
  </si>
  <si>
    <t>VAN-INFOCAST-NDW-FRE-JOB-DLY</t>
  </si>
  <si>
    <t>VAN-INFOCAST-NDW-FRE-OJA-DLY</t>
  </si>
  <si>
    <t>VAN-INFOCAST-NDW-FRE-OCR-DLY</t>
  </si>
  <si>
    <t>VAN-INFOCAST-NDW-FRE-OOR-DLY</t>
  </si>
  <si>
    <t>VAN-INFOCAST-NDW-FRE-OTR-DLY</t>
  </si>
  <si>
    <t>VAN-INFOCAST-NDW-FRE-OCL-DLY</t>
  </si>
  <si>
    <t>VAN-INFOCAST-NDW-FRE-OOL-DLY</t>
  </si>
  <si>
    <t>VAN-INFOCAST-NDW-FRE-OTL-DLY</t>
  </si>
  <si>
    <t>VAN-INFOCAST-NDW-FRE-CUS-DLY</t>
  </si>
  <si>
    <t>VAN-INFOCAST-NDW-FRE-CUC-DLY</t>
  </si>
  <si>
    <t>VAN-INFOCAST-NDW-FRE-HSE-DLY</t>
  </si>
  <si>
    <t>VAN-INFOCAST-NDW-FRE-HSL-DLY</t>
  </si>
  <si>
    <t>VAN-INFOCAST-NDW-FRE-HSM-DLY</t>
  </si>
  <si>
    <t>VAN-INFOCAST-NDW-FRE-EQC-DLY</t>
  </si>
  <si>
    <t>VAN-INFOCAST-NDW-FRE-EQE-DLY</t>
  </si>
  <si>
    <t>VAN-INFOCAST-NDW-FRE-EQP-DLY</t>
  </si>
  <si>
    <t>VAN-INFOCAST-NDW-FRE-EQS-DLY</t>
  </si>
  <si>
    <t>VAN-INFOCAST-NDW-FRE-NEQ-DLY</t>
  </si>
  <si>
    <t>VAN-INFOCAST-NDW-FRE-NQL-DLY</t>
  </si>
  <si>
    <t>VAN-INFOCAST-NDW-GLK-OCI-DLY</t>
  </si>
  <si>
    <t>VAN-INFOCAST-NDW-GLK-OHI-DLY</t>
  </si>
  <si>
    <t>VAN-INFOCAST-NDW-GLK-OPI-DLY</t>
  </si>
  <si>
    <t>VAN-INFOCAST-NDW-GLK-JOB-DLY</t>
  </si>
  <si>
    <t>VAN-INFOCAST-NDW-GLK-OJA-DLY</t>
  </si>
  <si>
    <t>VAN-INFOCAST-NDW-GLK-OCR-DLY</t>
  </si>
  <si>
    <t>VAN-INFOCAST-NDW-GLK-OOR-DLY</t>
  </si>
  <si>
    <t>VAN-INFOCAST-NDW-GLK-OTR-DLY</t>
  </si>
  <si>
    <t>VAN-INFOCAST-NDW-GLK-OCL-DLY</t>
  </si>
  <si>
    <t>VAN-INFOCAST-NDW-GLK-OOL-DLY</t>
  </si>
  <si>
    <t>VAN-INFOCAST-NDW-GLK-OTL-DLY</t>
  </si>
  <si>
    <t>VAN-INFOCAST-NDW-GLK-CUS-DLY</t>
  </si>
  <si>
    <t>VAN-INFOCAST-NDW-GLK-CUC-DLY</t>
  </si>
  <si>
    <t>VAN-INFOCAST-NDW-GLK-HSE-DLY</t>
  </si>
  <si>
    <t>VAN-INFOCAST-NDW-GLK-HSL-DLY</t>
  </si>
  <si>
    <t>VAN-INFOCAST-NDW-GLK-HSM-DLY</t>
  </si>
  <si>
    <t>VAN-INFOCAST-NDW-GLK-EQC-DLY</t>
  </si>
  <si>
    <t>VAN-INFOCAST-NDW-GLK-EQE-DLY</t>
  </si>
  <si>
    <t>VAN-INFOCAST-NDW-GLK-EQP-DLY</t>
  </si>
  <si>
    <t>VAN-INFOCAST-NDW-GLK-EQS-DLY</t>
  </si>
  <si>
    <t>VAN-INFOCAST-NDW-GLK-NEQ-DLY</t>
  </si>
  <si>
    <t>VAN-INFOCAST-NDW-GLK-NQL-DLY</t>
  </si>
  <si>
    <t>VAN-INFOCAST-NDW-IND-OCI-DLY</t>
  </si>
  <si>
    <t>VAN-INFOCAST-NDW-IND-OHI-DLY</t>
  </si>
  <si>
    <t>VAN-INFOCAST-NDW-IND-OPI-DLY</t>
  </si>
  <si>
    <t>VAN-INFOCAST-NDW-IND-JOB-DLY</t>
  </si>
  <si>
    <t>VAN-INFOCAST-NDW-IND-OJA-DLY</t>
  </si>
  <si>
    <t>VAN-INFOCAST-NDW-IND-OCR-DLY</t>
  </si>
  <si>
    <t>VAN-INFOCAST-NDW-IND-OOR-DLY</t>
  </si>
  <si>
    <t>VAN-INFOCAST-NDW-IND-OTR-DLY</t>
  </si>
  <si>
    <t>VAN-INFOCAST-NDW-IND-OCL-DLY</t>
  </si>
  <si>
    <t>VAN-INFOCAST-NDW-IND-OOL-DLY</t>
  </si>
  <si>
    <t>VAN-INFOCAST-NDW-IND-OTL-DLY</t>
  </si>
  <si>
    <t>VAN-INFOCAST-NDW-IND-CUS-DLY</t>
  </si>
  <si>
    <t>VAN-INFOCAST-NDW-IND-CUC-DLY</t>
  </si>
  <si>
    <t>VAN-INFOCAST-NDW-IND-HSE-DLY</t>
  </si>
  <si>
    <t>VAN-INFOCAST-NDW-IND-HSL-DLY</t>
  </si>
  <si>
    <t>VAN-INFOCAST-NDW-IND-HSM-DLY</t>
  </si>
  <si>
    <t>VAN-INFOCAST-NDW-IND-EQC-DLY</t>
  </si>
  <si>
    <t>VAN-INFOCAST-NDW-IND-EQE-DLY</t>
  </si>
  <si>
    <t>VAN-INFOCAST-NDW-IND-EQP-DLY</t>
  </si>
  <si>
    <t>VAN-INFOCAST-NDW-IND-EQS-DLY</t>
  </si>
  <si>
    <t>VAN-INFOCAST-NDW-IND-NEQ-DLY</t>
  </si>
  <si>
    <t>VAN-INFOCAST-NDW-IND-NQL-DLY</t>
  </si>
  <si>
    <t>VAN-INFOCAST-NDW-JAX-OCI-DLY</t>
  </si>
  <si>
    <t>VAN-INFOCAST-NDW-JAX-OHI-DLY</t>
  </si>
  <si>
    <t>VAN-INFOCAST-NDW-JAX-OPI-DLY</t>
  </si>
  <si>
    <t>VAN-INFOCAST-NDW-JAX-JOB-DLY</t>
  </si>
  <si>
    <t>VAN-INFOCAST-NDW-JAX-OJA-DLY</t>
  </si>
  <si>
    <t>VAN-INFOCAST-NDW-JAX-OCR-DLY</t>
  </si>
  <si>
    <t>VAN-INFOCAST-NDW-JAX-OOR-DLY</t>
  </si>
  <si>
    <t>VAN-INFOCAST-NDW-JAX-OTR-DLY</t>
  </si>
  <si>
    <t>VAN-INFOCAST-NDW-JAX-OCL-DLY</t>
  </si>
  <si>
    <t>VAN-INFOCAST-NDW-JAX-OOL-DLY</t>
  </si>
  <si>
    <t>VAN-INFOCAST-NDW-JAX-OTL-DLY</t>
  </si>
  <si>
    <t>VAN-INFOCAST-NDW-JAX-CUS-DLY</t>
  </si>
  <si>
    <t>VAN-INFOCAST-NDW-JAX-CUC-DLY</t>
  </si>
  <si>
    <t>VAN-INFOCAST-NDW-JAX-HSE-DLY</t>
  </si>
  <si>
    <t>VAN-INFOCAST-NDW-JAX-HSL-DLY</t>
  </si>
  <si>
    <t>VAN-INFOCAST-NDW-JAX-HSM-DLY</t>
  </si>
  <si>
    <t>VAN-INFOCAST-NDW-JAX-EQC-DLY</t>
  </si>
  <si>
    <t>VAN-INFOCAST-NDW-JAX-EQE-DLY</t>
  </si>
  <si>
    <t>VAN-INFOCAST-NDW-JAX-EQP-DLY</t>
  </si>
  <si>
    <t>VAN-INFOCAST-NDW-JAX-EQS-DLY</t>
  </si>
  <si>
    <t>VAN-INFOCAST-NDW-JAX-NEQ-DLY</t>
  </si>
  <si>
    <t>VAN-INFOCAST-NDW-JAX-NQL-DLY</t>
  </si>
  <si>
    <t>VAN-INFOCAST-NDW-NEA-OCI-DLY</t>
  </si>
  <si>
    <t>VAN-INFOCAST-NDW-NEA-OHI-DLY</t>
  </si>
  <si>
    <t>VAN-INFOCAST-NDW-NEA-OPI-DLY</t>
  </si>
  <si>
    <t>VAN-INFOCAST-NDW-NEA-JOB-DLY</t>
  </si>
  <si>
    <t>VAN-INFOCAST-NDW-NEA-OJA-DLY</t>
  </si>
  <si>
    <t>VAN-INFOCAST-NDW-NEA-OCR-DLY</t>
  </si>
  <si>
    <t>VAN-INFOCAST-NDW-NEA-OOR-DLY</t>
  </si>
  <si>
    <t>VAN-INFOCAST-NDW-NEA-OTR-DLY</t>
  </si>
  <si>
    <t>VAN-INFOCAST-NDW-NEA-OCL-DLY</t>
  </si>
  <si>
    <t>VAN-INFOCAST-NDW-NEA-OOL-DLY</t>
  </si>
  <si>
    <t>VAN-INFOCAST-NDW-NEA-OTL-DLY</t>
  </si>
  <si>
    <t>VAN-INFOCAST-NDW-NEA-CUS-DLY</t>
  </si>
  <si>
    <t>VAN-INFOCAST-NDW-NEA-CUC-DLY</t>
  </si>
  <si>
    <t>VAN-INFOCAST-NDW-NEA-HSE-DLY</t>
  </si>
  <si>
    <t>VAN-INFOCAST-NDW-NEA-HSL-DLY</t>
  </si>
  <si>
    <t>VAN-INFOCAST-NDW-NEA-HSM-DLY</t>
  </si>
  <si>
    <t>VAN-INFOCAST-NDW-NEA-EQC-DLY</t>
  </si>
  <si>
    <t>VAN-INFOCAST-NDW-NEA-EQE-DLY</t>
  </si>
  <si>
    <t>VAN-INFOCAST-NDW-NEA-EQP-DLY</t>
  </si>
  <si>
    <t>VAN-INFOCAST-NDW-NEA-EQS-DLY</t>
  </si>
  <si>
    <t>VAN-INFOCAST-NDW-NEA-NEQ-DLY</t>
  </si>
  <si>
    <t>VAN-INFOCAST-NDW-NEA-NQL-DLY</t>
  </si>
  <si>
    <t>VAN-INFOCAST-NDW-PIT-OCI-DLY</t>
  </si>
  <si>
    <t>VAN-INFOCAST-NDW-PIT-OHI-DLY</t>
  </si>
  <si>
    <t>VAN-INFOCAST-NDW-PIT-OPI-DLY</t>
  </si>
  <si>
    <t>VAN-INFOCAST-NDW-PIT-JOB-DLY</t>
  </si>
  <si>
    <t>VAN-INFOCAST-NDW-PIT-OJA-DLY</t>
  </si>
  <si>
    <t>VAN-INFOCAST-NDW-PIT-OCR-DLY</t>
  </si>
  <si>
    <t>VAN-INFOCAST-NDW-PIT-OOR-DLY</t>
  </si>
  <si>
    <t>VAN-INFOCAST-NDW-PIT-OTR-DLY</t>
  </si>
  <si>
    <t>VAN-INFOCAST-NDW-PIT-OCL-DLY</t>
  </si>
  <si>
    <t>VAN-INFOCAST-NDW-PIT-OOL-DLY</t>
  </si>
  <si>
    <t>VAN-INFOCAST-NDW-PIT-OTL-DLY</t>
  </si>
  <si>
    <t>VAN-INFOCAST-NDW-PIT-CUS-DLY</t>
  </si>
  <si>
    <t>VAN-INFOCAST-NDW-PIT-CUC-DLY</t>
  </si>
  <si>
    <t>VAN-INFOCAST-NDW-PIT-HSE-DLY</t>
  </si>
  <si>
    <t>VAN-INFOCAST-NDW-PIT-HSL-DLY</t>
  </si>
  <si>
    <t>VAN-INFOCAST-NDW-PIT-HSM-DLY</t>
  </si>
  <si>
    <t>VAN-INFOCAST-NDW-PIT-EQC-DLY</t>
  </si>
  <si>
    <t>VAN-INFOCAST-NDW-PIT-EQE-DLY</t>
  </si>
  <si>
    <t>VAN-INFOCAST-NDW-PIT-EQP-DLY</t>
  </si>
  <si>
    <t>VAN-INFOCAST-NDW-PIT-EQS-DLY</t>
  </si>
  <si>
    <t>VAN-INFOCAST-NDW-PIT-NEQ-DLY</t>
  </si>
  <si>
    <t>VAN-INFOCAST-NDW-PIT-NQL-DLY</t>
  </si>
  <si>
    <t>VAN-INFOCAST-NDW-POR-OCI-DLY</t>
  </si>
  <si>
    <t>VAN-INFOCAST-NDW-POR-OHI-DLY</t>
  </si>
  <si>
    <t>VAN-INFOCAST-NDW-POR-OPI-DLY</t>
  </si>
  <si>
    <t>VAN-INFOCAST-NDW-POR-JOB-DLY</t>
  </si>
  <si>
    <t>VAN-INFOCAST-NDW-POR-OJA-DLY</t>
  </si>
  <si>
    <t>VAN-INFOCAST-NDW-POR-OCR-DLY</t>
  </si>
  <si>
    <t>VAN-INFOCAST-NDW-POR-OOR-DLY</t>
  </si>
  <si>
    <t>VAN-INFOCAST-NDW-POR-OTR-DLY</t>
  </si>
  <si>
    <t>VAN-INFOCAST-NDW-POR-OCL-DLY</t>
  </si>
  <si>
    <t>VAN-INFOCAST-NDW-POR-OOL-DLY</t>
  </si>
  <si>
    <t>VAN-INFOCAST-NDW-POR-OTL-DLY</t>
  </si>
  <si>
    <t>VAN-INFOCAST-NDW-POR-CUS-DLY</t>
  </si>
  <si>
    <t>VAN-INFOCAST-NDW-POR-CUC-DLY</t>
  </si>
  <si>
    <t>VAN-INFOCAST-NDW-POR-HSE-DLY</t>
  </si>
  <si>
    <t>VAN-INFOCAST-NDW-POR-HSL-DLY</t>
  </si>
  <si>
    <t>VAN-INFOCAST-NDW-POR-HSM-DLY</t>
  </si>
  <si>
    <t>VAN-INFOCAST-NDW-POR-EQC-DLY</t>
  </si>
  <si>
    <t>VAN-INFOCAST-NDW-POR-EQE-DLY</t>
  </si>
  <si>
    <t>VAN-INFOCAST-NDW-POR-EQP-DLY</t>
  </si>
  <si>
    <t>VAN-INFOCAST-NDW-POR-EQS-DLY</t>
  </si>
  <si>
    <t>VAN-INFOCAST-NDW-POR-NEQ-DLY</t>
  </si>
  <si>
    <t>VAN-INFOCAST-NDW-POR-NQL-DLY</t>
  </si>
  <si>
    <t>VAN-INFOCAST-NDW-SEA-OCI-DLY</t>
  </si>
  <si>
    <t>VAN-INFOCAST-NDW-SEA-OHI-DLY</t>
  </si>
  <si>
    <t>VAN-INFOCAST-NDW-SEA-OPI-DLY</t>
  </si>
  <si>
    <t>VAN-INFOCAST-NDW-SEA-JOB-DLY</t>
  </si>
  <si>
    <t>VAN-INFOCAST-NDW-SEA-OJA-DLY</t>
  </si>
  <si>
    <t>VAN-INFOCAST-NDW-SEA-OCR-DLY</t>
  </si>
  <si>
    <t>VAN-INFOCAST-NDW-SEA-OOR-DLY</t>
  </si>
  <si>
    <t>VAN-INFOCAST-NDW-SEA-OTR-DLY</t>
  </si>
  <si>
    <t>VAN-INFOCAST-NDW-SEA-OCL-DLY</t>
  </si>
  <si>
    <t>VAN-INFOCAST-NDW-SEA-OOL-DLY</t>
  </si>
  <si>
    <t>VAN-INFOCAST-NDW-SEA-OTL-DLY</t>
  </si>
  <si>
    <t>VAN-INFOCAST-NDW-SEA-CUS-DLY</t>
  </si>
  <si>
    <t>VAN-INFOCAST-NDW-SEA-CUC-DLY</t>
  </si>
  <si>
    <t>VAN-INFOCAST-NDW-SEA-HSE-DLY</t>
  </si>
  <si>
    <t>VAN-INFOCAST-NDW-SEA-HSL-DLY</t>
  </si>
  <si>
    <t>VAN-INFOCAST-NDW-SEA-HSM-DLY</t>
  </si>
  <si>
    <t>VAN-INFOCAST-NDW-SEA-EQC-DLY</t>
  </si>
  <si>
    <t>VAN-INFOCAST-NDW-SEA-EQE-DLY</t>
  </si>
  <si>
    <t>VAN-INFOCAST-NDW-SEA-EQP-DLY</t>
  </si>
  <si>
    <t>VAN-INFOCAST-NDW-SEA-EQS-DLY</t>
  </si>
  <si>
    <t>VAN-INFOCAST-NDW-SEA-NEQ-DLY</t>
  </si>
  <si>
    <t>VAN-INFOCAST-NDW-SEA-NQL-DLY</t>
  </si>
  <si>
    <t>VAN-INFOCAST-NDW-SFL-OCI-DLY</t>
  </si>
  <si>
    <t>VAN-INFOCAST-NDW-SFL-OHI-DLY</t>
  </si>
  <si>
    <t>VAN-INFOCAST-NDW-SFL-OPI-DLY</t>
  </si>
  <si>
    <t>VAN-INFOCAST-NDW-SFL-JOB-DLY</t>
  </si>
  <si>
    <t>VAN-INFOCAST-NDW-SFL-OJA-DLY</t>
  </si>
  <si>
    <t>VAN-INFOCAST-NDW-SFL-OCR-DLY</t>
  </si>
  <si>
    <t>VAN-INFOCAST-NDW-SFL-OOR-DLY</t>
  </si>
  <si>
    <t>VAN-INFOCAST-NDW-SFL-OTR-DLY</t>
  </si>
  <si>
    <t>VAN-INFOCAST-NDW-SFL-OCL-DLY</t>
  </si>
  <si>
    <t>VAN-INFOCAST-NDW-SFL-OOL-DLY</t>
  </si>
  <si>
    <t>VAN-INFOCAST-NDW-SFL-OTL-DLY</t>
  </si>
  <si>
    <t>VAN-INFOCAST-NDW-SFL-CUS-DLY</t>
  </si>
  <si>
    <t>VAN-INFOCAST-NDW-SFL-CUC-DLY</t>
  </si>
  <si>
    <t>VAN-INFOCAST-NDW-SFL-HSE-DLY</t>
  </si>
  <si>
    <t>VAN-INFOCAST-NDW-SFL-HSL-DLY</t>
  </si>
  <si>
    <t>VAN-INFOCAST-NDW-SFL-HSM-DLY</t>
  </si>
  <si>
    <t>VAN-INFOCAST-NDW-SFL-EQC-DLY</t>
  </si>
  <si>
    <t>VAN-INFOCAST-NDW-SFL-EQE-DLY</t>
  </si>
  <si>
    <t>VAN-INFOCAST-NDW-SFL-EQP-DLY</t>
  </si>
  <si>
    <t>VAN-INFOCAST-NDW-SFL-EQS-DLY</t>
  </si>
  <si>
    <t>VAN-INFOCAST-NDW-SFL-NEQ-DLY</t>
  </si>
  <si>
    <t>VAN-INFOCAST-NDW-SFL-NQL-DLY</t>
  </si>
  <si>
    <t>VAN-INFOCAST-NDW-SLC-OCI-DLY</t>
  </si>
  <si>
    <t>VAN-INFOCAST-NDW-SLC-OHI-DLY</t>
  </si>
  <si>
    <t>VAN-INFOCAST-NDW-SLC-OPI-DLY</t>
  </si>
  <si>
    <t>VAN-INFOCAST-NDW-SLC-JOB-DLY</t>
  </si>
  <si>
    <t>VAN-INFOCAST-NDW-SLC-OJA-DLY</t>
  </si>
  <si>
    <t>VAN-INFOCAST-NDW-SLC-OCR-DLY</t>
  </si>
  <si>
    <t>VAN-INFOCAST-NDW-SLC-OOR-DLY</t>
  </si>
  <si>
    <t>VAN-INFOCAST-NDW-SLC-OTR-DLY</t>
  </si>
  <si>
    <t>VAN-INFOCAST-NDW-SLC-OCL-DLY</t>
  </si>
  <si>
    <t>VAN-INFOCAST-NDW-SLC-OOL-DLY</t>
  </si>
  <si>
    <t>VAN-INFOCAST-NDW-SLC-OTL-DLY</t>
  </si>
  <si>
    <t>VAN-INFOCAST-NDW-SLC-CUS-DLY</t>
  </si>
  <si>
    <t>VAN-INFOCAST-NDW-SLC-CUC-DLY</t>
  </si>
  <si>
    <t>VAN-INFOCAST-NDW-SLC-HSE-DLY</t>
  </si>
  <si>
    <t>VAN-INFOCAST-NDW-SLC-HSL-DLY</t>
  </si>
  <si>
    <t>VAN-INFOCAST-NDW-SLC-HSM-DLY</t>
  </si>
  <si>
    <t>VAN-INFOCAST-NDW-SLC-EQC-DLY</t>
  </si>
  <si>
    <t>VAN-INFOCAST-NDW-SLC-EQE-DLY</t>
  </si>
  <si>
    <t>VAN-INFOCAST-NDW-SLC-EQP-DLY</t>
  </si>
  <si>
    <t>VAN-INFOCAST-NDW-SLC-EQS-DLY</t>
  </si>
  <si>
    <t>VAN-INFOCAST-NDW-SLC-NEQ-DLY</t>
  </si>
  <si>
    <t>VAN-INFOCAST-NDW-SLC-NQL-DLY</t>
  </si>
  <si>
    <t>VAN-INFOCAST-NDW-TEN-OCI-DLY</t>
  </si>
  <si>
    <t>VAN-INFOCAST-NDW-TEN-OHI-DLY</t>
  </si>
  <si>
    <t>VAN-INFOCAST-NDW-TEN-OPI-DLY</t>
  </si>
  <si>
    <t>VAN-INFOCAST-NDW-TEN-JOB-DLY</t>
  </si>
  <si>
    <t>VAN-INFOCAST-NDW-TEN-OJA-DLY</t>
  </si>
  <si>
    <t>VAN-INFOCAST-NDW-TEN-OCR-DLY</t>
  </si>
  <si>
    <t>VAN-INFOCAST-NDW-TEN-OOR-DLY</t>
  </si>
  <si>
    <t>VAN-INFOCAST-NDW-TEN-OTR-DLY</t>
  </si>
  <si>
    <t>VAN-INFOCAST-NDW-TEN-OCL-DLY</t>
  </si>
  <si>
    <t>VAN-INFOCAST-NDW-TEN-OOL-DLY</t>
  </si>
  <si>
    <t>VAN-INFOCAST-NDW-TEN-OTL-DLY</t>
  </si>
  <si>
    <t>VAN-INFOCAST-NDW-TEN-CUS-DLY</t>
  </si>
  <si>
    <t>VAN-INFOCAST-NDW-TEN-CUC-DLY</t>
  </si>
  <si>
    <t>VAN-INFOCAST-NDW-TEN-HSE-DLY</t>
  </si>
  <si>
    <t>VAN-INFOCAST-NDW-TEN-HSL-DLY</t>
  </si>
  <si>
    <t>VAN-INFOCAST-NDW-TEN-HSM-DLY</t>
  </si>
  <si>
    <t>VAN-INFOCAST-NDW-TEN-EQC-DLY</t>
  </si>
  <si>
    <t>VAN-INFOCAST-NDW-TEN-EQE-DLY</t>
  </si>
  <si>
    <t>VAN-INFOCAST-NDW-TEN-EQP-DLY</t>
  </si>
  <si>
    <t>VAN-INFOCAST-NDW-TEN-EQS-DLY</t>
  </si>
  <si>
    <t>VAN-INFOCAST-NDW-TEN-NEQ-DLY</t>
  </si>
  <si>
    <t>VAN-INFOCAST-NDW-TEN-NQL-DLY</t>
  </si>
  <si>
    <t>VAN-INFOCAST-NDW-WHS-OCI-DLY</t>
  </si>
  <si>
    <t>VAN-INFOCAST-NDW-WHS-OHI-DLY</t>
  </si>
  <si>
    <t>VAN-INFOCAST-NDW-WHS-OPI-DLY</t>
  </si>
  <si>
    <t>VAN-INFOCAST-NDW-WHS-JOB-DLY</t>
  </si>
  <si>
    <t>VAN-INFOCAST-NDW-WHS-OJA-DLY</t>
  </si>
  <si>
    <t>VAN-INFOCAST-NDW-WHS-OCR-DLY</t>
  </si>
  <si>
    <t>VAN-INFOCAST-NDW-WHS-OOR-DLY</t>
  </si>
  <si>
    <t>VAN-INFOCAST-NDW-WHS-OTR-DLY</t>
  </si>
  <si>
    <t>VAN-INFOCAST-NDW-WHS-OCL-DLY</t>
  </si>
  <si>
    <t>VAN-INFOCAST-NDW-WHS-OOL-DLY</t>
  </si>
  <si>
    <t>VAN-INFOCAST-NDW-WHS-OTL-DLY</t>
  </si>
  <si>
    <t>VAN-INFOCAST-NDW-WHS-CUS-DLY</t>
  </si>
  <si>
    <t>VAN-INFOCAST-NDW-WHS-CUC-DLY</t>
  </si>
  <si>
    <t>VAN-INFOCAST-NDW-WHS-HSE-DLY</t>
  </si>
  <si>
    <t>VAN-INFOCAST-NDW-WHS-HSL-DLY</t>
  </si>
  <si>
    <t>VAN-INFOCAST-NDW-WHS-HSM-DLY</t>
  </si>
  <si>
    <t>VAN-INFOCAST-NDW-WHS-EQC-DLY</t>
  </si>
  <si>
    <t>VAN-INFOCAST-NDW-WHS-EQE-DLY</t>
  </si>
  <si>
    <t>VAN-INFOCAST-NDW-WHS-EQP-DLY</t>
  </si>
  <si>
    <t>VAN-INFOCAST-NDW-WHS-EQS-DLY</t>
  </si>
  <si>
    <t>VAN-INFOCAST-NDW-WHS-NEQ-DLY</t>
  </si>
  <si>
    <t>VAN-INFOCAST-NDW-WHS-NQL-DLY</t>
  </si>
  <si>
    <t>VAN-INFOCAST-NDW-WOM-OCI-DLY</t>
  </si>
  <si>
    <t>VAN-INFOCAST-NDW-WOM-OHI-DLY</t>
  </si>
  <si>
    <t>VAN-INFOCAST-NDW-WOM-OPI-DLY</t>
  </si>
  <si>
    <t>VAN-INFOCAST-NDW-WOM-JOB-DLY</t>
  </si>
  <si>
    <t>VAN-INFOCAST-NDW-WOM-OJA-DLY</t>
  </si>
  <si>
    <t>VAN-INFOCAST-NDW-WOM-OCR-DLY</t>
  </si>
  <si>
    <t>VAN-INFOCAST-NDW-WOM-OOR-DLY</t>
  </si>
  <si>
    <t>VAN-INFOCAST-NDW-WOM-OTR-DLY</t>
  </si>
  <si>
    <t>VAN-INFOCAST-NDW-WOM-OCL-DLY</t>
  </si>
  <si>
    <t>VAN-INFOCAST-NDW-WOM-OOL-DLY</t>
  </si>
  <si>
    <t>VAN-INFOCAST-NDW-WOM-OTL-DLY</t>
  </si>
  <si>
    <t>VAN-INFOCAST-NDW-WOM-CUS-DLY</t>
  </si>
  <si>
    <t>VAN-INFOCAST-NDW-WOM-CUC-DLY</t>
  </si>
  <si>
    <t>VAN-INFOCAST-NDW-WOM-HSE-DLY</t>
  </si>
  <si>
    <t>VAN-INFOCAST-NDW-WOM-HSL-DLY</t>
  </si>
  <si>
    <t>VAN-INFOCAST-NDW-WOM-HSM-DLY</t>
  </si>
  <si>
    <t>VAN-INFOCAST-NDW-WOM-EQC-DLY</t>
  </si>
  <si>
    <t>VAN-INFOCAST-NDW-WOM-EQE-DLY</t>
  </si>
  <si>
    <t>VAN-INFOCAST-NDW-WOM-EQP-DLY</t>
  </si>
  <si>
    <t>VAN-INFOCAST-NDW-WOM-EQS-DLY</t>
  </si>
  <si>
    <t>VAN-INFOCAST-NDW-WOM-NEQ-DLY</t>
  </si>
  <si>
    <t>VAN-INFOCAST-NDW-WOM-NQL-DLY</t>
  </si>
  <si>
    <t>VAN-INFOCAST-NDW-BLT-CUC-DLY</t>
  </si>
  <si>
    <t>VAN-INFOCAST-NDW-BLT-CUS-DLY</t>
  </si>
  <si>
    <t>VAN-INFOCAST-NDW-BLT-EQC-DLY</t>
  </si>
  <si>
    <t>VAN-INFOCAST-NDW-BLT-EQE-DLY</t>
  </si>
  <si>
    <t>VAN-INFOCAST-NDW-BLT-EQP-DLY</t>
  </si>
  <si>
    <t>VAN-INFOCAST-NDW-BLT-EQS-DLY</t>
  </si>
  <si>
    <t>VAN-INFOCAST-NDW-BLT-HSE-DLY</t>
  </si>
  <si>
    <t>VAN-INFOCAST-NDW-BLT-HSL-DLY</t>
  </si>
  <si>
    <t>VAN-INFOCAST-NDW-BLT-HSM-DLY</t>
  </si>
  <si>
    <t>VAN-INFOCAST-NDW-BLT-JOB-DLY</t>
  </si>
  <si>
    <t>VAN-INFOCAST-NDW-BLT-NEQ-DLY</t>
  </si>
  <si>
    <t>VAN-INFOCAST-NDW-BLT-NQL-DLY</t>
  </si>
  <si>
    <t>VAN-INFOCAST-NDW-BLT-OCI-DLY</t>
  </si>
  <si>
    <t>VAN-INFOCAST-NDW-BLT-OCL-DLY</t>
  </si>
  <si>
    <t>VAN-INFOCAST-NDW-BLT-OCR-DLY</t>
  </si>
  <si>
    <t>VAN-INFOCAST-NDW-BLT-OHI-DLY</t>
  </si>
  <si>
    <t>VAN-INFOCAST-NDW-BLT-OJA-DLY</t>
  </si>
  <si>
    <t>VAN-INFOCAST-NDW-BLT-OOL-DLY</t>
  </si>
  <si>
    <t>VAN-INFOCAST-NDW-BLT-OOR-DLY</t>
  </si>
  <si>
    <t>VAN-INFOCAST-NDW-BLT-OPI-DLY</t>
  </si>
  <si>
    <t>VAN-INFOCAST-NDW-BLT-OTL-DLY</t>
  </si>
  <si>
    <t>VAN-INFOCAST-NDW-BLT-OTR-DLY</t>
  </si>
  <si>
    <t>VAN-INFOCAST-NDW-HRT-CUC-DLY</t>
  </si>
  <si>
    <t>VAN-INFOCAST-NDW-HRT-CUS-DLY</t>
  </si>
  <si>
    <t>VAN-INFOCAST-NDW-HRT-EQC-DLY</t>
  </si>
  <si>
    <t>VAN-INFOCAST-NDW-HRT-EQE-DLY</t>
  </si>
  <si>
    <t>VAN-INFOCAST-NDW-HRT-EQP-DLY</t>
  </si>
  <si>
    <t>VAN-INFOCAST-NDW-HRT-EQS-DLY</t>
  </si>
  <si>
    <t>VAN-INFOCAST-NDW-HRT-HSE-DLY</t>
  </si>
  <si>
    <t>VAN-INFOCAST-NDW-HRT-HSL-DLY</t>
  </si>
  <si>
    <t>VAN-INFOCAST-NDW-HRT-HSM-DLY</t>
  </si>
  <si>
    <t>VAN-INFOCAST-NDW-HRT-JOB-DLY</t>
  </si>
  <si>
    <t>VAN-INFOCAST-NDW-HRT-NEQ-DLY</t>
  </si>
  <si>
    <t>VAN-INFOCAST-NDW-HRT-NQL-DLY</t>
  </si>
  <si>
    <t>VAN-INFOCAST-NDW-HRT-OCI-DLY</t>
  </si>
  <si>
    <t>VAN-INFOCAST-NDW-HRT-OCL-DLY</t>
  </si>
  <si>
    <t>VAN-INFOCAST-NDW-HRT-OCR-DLY</t>
  </si>
  <si>
    <t>VAN-INFOCAST-NDW-HRT-OHI-DLY</t>
  </si>
  <si>
    <t>VAN-INFOCAST-NDW-HRT-OJA-DLY</t>
  </si>
  <si>
    <t>VAN-INFOCAST-NDW-HRT-OOL-DLY</t>
  </si>
  <si>
    <t>VAN-INFOCAST-NDW-HRT-OOR-DLY</t>
  </si>
  <si>
    <t>VAN-INFOCAST-NDW-HRT-OPI-DLY</t>
  </si>
  <si>
    <t>VAN-INFOCAST-NDW-HRT-OTL-DLY</t>
  </si>
  <si>
    <t>VAN-INFOCAST-NDW-HRT-OTR-DLY</t>
  </si>
  <si>
    <t>VAN-INFOCAST-NDW-FLA-CUC-DLY</t>
  </si>
  <si>
    <t>VAN-INFOCAST-NDW-FLA-CUS-DLY</t>
  </si>
  <si>
    <t>VAN-INFOCAST-NDW-FLA-EQC-DLY</t>
  </si>
  <si>
    <t>VAN-INFOCAST-NDW-FLA-EQE-DLY</t>
  </si>
  <si>
    <t>VAN-INFOCAST-NDW-FLA-EQP-DLY</t>
  </si>
  <si>
    <t>VAN-INFOCAST-NDW-FLA-EQS-DLY</t>
  </si>
  <si>
    <t>VAN-INFOCAST-NDW-FLA-HSE-DLY</t>
  </si>
  <si>
    <t>VAN-INFOCAST-NDW-FLA-HSL-DLY</t>
  </si>
  <si>
    <t>VAN-INFOCAST-NDW-FLA-HSM-DLY</t>
  </si>
  <si>
    <t>VAN-INFOCAST-NDW-FLA-JOB-DLY</t>
  </si>
  <si>
    <t>VAN-INFOCAST-NDW-FLA-NEQ-DLY</t>
  </si>
  <si>
    <t>VAN-INFOCAST-NDW-FLA-NQL-DLY</t>
  </si>
  <si>
    <t>VAN-INFOCAST-NDW-FLA-OCI-DLY</t>
  </si>
  <si>
    <t>VAN-INFOCAST-NDW-FLA-OCL-DLY</t>
  </si>
  <si>
    <t>VAN-INFOCAST-NDW-FLA-OCR-DLY</t>
  </si>
  <si>
    <t>VAN-INFOCAST-NDW-FLA-OHI-DLY</t>
  </si>
  <si>
    <t>VAN-INFOCAST-NDW-FLA-OJA-DLY</t>
  </si>
  <si>
    <t>VAN-INFOCAST-NDW-FLA-OOL-DLY</t>
  </si>
  <si>
    <t>VAN-INFOCAST-NDW-FLA-OOR-DLY</t>
  </si>
  <si>
    <t>VAN-INFOCAST-NDW-FLA-OPI-DLY</t>
  </si>
  <si>
    <t>VAN-INFOCAST-NDW-FLA-OTL-DLY</t>
  </si>
  <si>
    <t>VAN-INFOCAST-NDW-FLA-OTR-DLY</t>
  </si>
  <si>
    <t xml:space="preserve">Cycle Date: </t>
  </si>
  <si>
    <t>&lt;--Process Date</t>
  </si>
  <si>
    <t>Replace the formula-calculated status with the word 'Validated' once validation for a specific table is completed.</t>
  </si>
  <si>
    <t>MSO</t>
  </si>
  <si>
    <t>Subsystem</t>
  </si>
  <si>
    <t>Abbreviation</t>
  </si>
  <si>
    <t>Table</t>
  </si>
  <si>
    <t>Vantage View Name</t>
  </si>
  <si>
    <t>Forecasted Reload Completion Time (MT)</t>
  </si>
  <si>
    <t>Forecasted Reload Completion Time (CT)</t>
  </si>
  <si>
    <t xml:space="preserve">Vantage Table Reload Status </t>
  </si>
  <si>
    <t>Actual Completion time (MT)</t>
  </si>
  <si>
    <t>Actual Completion time (CT)</t>
  </si>
  <si>
    <t>DWH Infocast Jobname</t>
  </si>
  <si>
    <t>DWH Infocast Filename</t>
  </si>
  <si>
    <t>Forecasted DWH Infocast File Delivery Time (MT)</t>
  </si>
  <si>
    <t xml:space="preserve">DWH Infocast Status </t>
  </si>
  <si>
    <t>DWH Infocast File Actual Delivery Time (MT)</t>
  </si>
  <si>
    <t>DWH Infocast File Actual Delivery Time (CT)</t>
  </si>
  <si>
    <t>Update RPPS</t>
  </si>
  <si>
    <t>Reload RPPS</t>
  </si>
  <si>
    <t>EQUIPMENT/NEQ</t>
  </si>
  <si>
    <t>NEQ</t>
  </si>
  <si>
    <t>NEQ_SUB</t>
  </si>
  <si>
    <t>ndwinfoc.infocastvntg.YYYY-MM-DD.HHMMSS.SSS.neq_sub.dat.gz.pgp</t>
  </si>
  <si>
    <t>CONTACT</t>
  </si>
  <si>
    <t>CON</t>
  </si>
  <si>
    <t>CON_CONTACT</t>
  </si>
  <si>
    <t>N/A</t>
  </si>
  <si>
    <t>HOUSE</t>
  </si>
  <si>
    <t>HSB</t>
  </si>
  <si>
    <t>HSE_BASE</t>
  </si>
  <si>
    <t>ndwinfoc.infocastvntg.YYYY-MM-DD.HHMMSS.SSS.hse_base.dat.gz.pgp</t>
  </si>
  <si>
    <t>HSL</t>
  </si>
  <si>
    <t>HSL_LOB</t>
  </si>
  <si>
    <t>ndwinfoc.infocastvntg.YYYY-MM-DD.HHMMSS.SSS.hsl_lob.dat.gz.pgp</t>
  </si>
  <si>
    <t>HSM</t>
  </si>
  <si>
    <t>HSM_MEMO</t>
  </si>
  <si>
    <t>ndwinfoc.infocastvntg.YYYY-MM-DD.HHMMSS.SSS.hsm_memo.dat.gz.pgp</t>
  </si>
  <si>
    <t>PPV EVENT PURCHASE DETAIL</t>
  </si>
  <si>
    <t>EPD</t>
  </si>
  <si>
    <t>EPD_EVENT_PURCH_DETAIL</t>
  </si>
  <si>
    <t>ACP ORDER/JOB AUDIT</t>
  </si>
  <si>
    <t>OAJ</t>
  </si>
  <si>
    <t>OAJ_AUDIT</t>
  </si>
  <si>
    <t>OAO</t>
  </si>
  <si>
    <t>OAO_AUDIT</t>
  </si>
  <si>
    <t>PPV EVENT</t>
  </si>
  <si>
    <t>EVB</t>
  </si>
  <si>
    <t>EVB_BASE</t>
  </si>
  <si>
    <t>EVD</t>
  </si>
  <si>
    <t>EVD_DISCNT</t>
  </si>
  <si>
    <t>EVP</t>
  </si>
  <si>
    <t>EVP_PKGS</t>
  </si>
  <si>
    <t>EVS</t>
  </si>
  <si>
    <t>EVS_SOURCE</t>
  </si>
  <si>
    <t>ACP JOB</t>
  </si>
  <si>
    <t>OJA</t>
  </si>
  <si>
    <t>OJA_JOBS_ALT_ADDR</t>
  </si>
  <si>
    <t>ndwinfoc.infocastvntg.YYYY-MM-DD.HHMMSS.SSS.oja_jobs_alt_addr.dat.gz.pgp</t>
  </si>
  <si>
    <t>OJB</t>
  </si>
  <si>
    <t>OJB_JOBS</t>
  </si>
  <si>
    <t>ndwinfoc.infocastvntg.YYYY-MM-DD.HHMMSS.SSS.ojb_jobs.dat.gz.pgp</t>
  </si>
  <si>
    <t>EQUIPMENT</t>
  </si>
  <si>
    <t>EQC</t>
  </si>
  <si>
    <t>EQC_CUSTOM</t>
  </si>
  <si>
    <t>ndwinfoc.infocastvntg.YYYY-MM-DD.HHMMSS.SSS.eqc_custom.dat.gz.pgp</t>
  </si>
  <si>
    <t>EQE</t>
  </si>
  <si>
    <t>EQE_EVENT</t>
  </si>
  <si>
    <t>ndwinfoc.infocastvntg.YYYY-MM-DD.HHMMSS.SSS.eqe_event.dat.gz.pgp</t>
  </si>
  <si>
    <t>EQP</t>
  </si>
  <si>
    <t>EQP_BASE</t>
  </si>
  <si>
    <t>ndwinfoc.infocastvntg.YYYY-MM-DD.HHMMSS.SSS.eqp_base.dat.gz.pgp</t>
  </si>
  <si>
    <t>EQS</t>
  </si>
  <si>
    <t>EQS_SERV_CDE</t>
  </si>
  <si>
    <t>ndwinfoc.infocastvntg.YYYY-MM-DD.HHMMSS.SSS.eqs_serv_cde.dat.gz.pgp</t>
  </si>
  <si>
    <t>EQUIPMENT/NQL</t>
  </si>
  <si>
    <t>NQL</t>
  </si>
  <si>
    <t>NQL_HIST</t>
  </si>
  <si>
    <t>ndwinfoc.infocastvntg.YYYY-MM-DD.HHMMSS.SSS.nql_hist.dat.gz.pgp</t>
  </si>
  <si>
    <t>ACP ITEM PENDING</t>
  </si>
  <si>
    <t>OPI</t>
  </si>
  <si>
    <t>OPI_OPEN_ITEM</t>
  </si>
  <si>
    <t>ndwinfoc.infocastvntg.YYYY-MM-DD.HHMMSS.SSS.opi_open_item.dat.gz.pgp</t>
  </si>
  <si>
    <t>CUSTOMER</t>
  </si>
  <si>
    <t>CUC</t>
  </si>
  <si>
    <t>CUC_COMMENT</t>
  </si>
  <si>
    <t>ndwinfoc.infocastvntg.YYYY-MM-DD.HHMMSS.SSS.cal.cuc_comment.dat.gz.pgp</t>
  </si>
  <si>
    <t>CUS</t>
  </si>
  <si>
    <t>CUS_BASE</t>
  </si>
  <si>
    <t>ndwinfoc.infocastvntg.YYYY-MM-DD.HHMMSS.SSS.cus_base.dat.gz.pgp</t>
  </si>
  <si>
    <t>ECS</t>
  </si>
  <si>
    <t>ECS_CUS_DATA</t>
  </si>
  <si>
    <t>SUBSCRIBER</t>
  </si>
  <si>
    <t>ESB</t>
  </si>
  <si>
    <t>ESB_SBB_DATA</t>
  </si>
  <si>
    <t>SBO</t>
  </si>
  <si>
    <t>SBO_LOB</t>
  </si>
  <si>
    <t>SBT</t>
  </si>
  <si>
    <t>SBT_ACCT_TRANS</t>
  </si>
  <si>
    <t>SBU</t>
  </si>
  <si>
    <t>SBU_CUSTOM</t>
  </si>
  <si>
    <t>SBB</t>
  </si>
  <si>
    <t>SBB_BASE</t>
  </si>
  <si>
    <t>ITV</t>
  </si>
  <si>
    <t>ITV_ITEM_VALUE</t>
  </si>
  <si>
    <t>ACCOUNT RECEIVABLES</t>
  </si>
  <si>
    <t>ACB</t>
  </si>
  <si>
    <t>ACB_BASE</t>
  </si>
  <si>
    <t>ACR</t>
  </si>
  <si>
    <t>ACR_ACCTS_RECEIVABLE</t>
  </si>
  <si>
    <t>ACP ITEM HISTORY</t>
  </si>
  <si>
    <t>OHI</t>
  </si>
  <si>
    <t>OHI_HIST_ITEM</t>
  </si>
  <si>
    <t>ndwinfoc.infocastvntg.YYYY-MM-DD.HHMMSS.SSS.ohi_hist_item.dat.gz.pgp</t>
  </si>
  <si>
    <t>ACP ITEM CURRENT</t>
  </si>
  <si>
    <t>OCI</t>
  </si>
  <si>
    <t>OCI_CUR_ITEM</t>
  </si>
  <si>
    <t>ndwinfoc.infocastvntg.YYYY-MM-DD.HHMMSS.SSS.oci_cur_item.dat.gz.pgp</t>
  </si>
  <si>
    <t>ACD</t>
  </si>
  <si>
    <t>ACD_DAYS_DELINQUENT</t>
  </si>
  <si>
    <t>CUSTOMER / HOUSE XREF</t>
  </si>
  <si>
    <t>CHX</t>
  </si>
  <si>
    <t>CHX_CUS_HSE</t>
  </si>
  <si>
    <t>OOI</t>
  </si>
  <si>
    <t>OOI_ACP_ITEM</t>
  </si>
  <si>
    <t>ACP ORDER</t>
  </si>
  <si>
    <t>OCL</t>
  </si>
  <si>
    <t>OCL_ORDER_COMP_LOB</t>
  </si>
  <si>
    <t>ndwinfoc.infocastvntg.YYYY-MM-DD.HHMMSS.SSS.ocl_order_comp_lob.dat.gz.pgp</t>
  </si>
  <si>
    <t>OOL</t>
  </si>
  <si>
    <t>OOL_ORDER_OPEN_LOB</t>
  </si>
  <si>
    <t>ndwinfoc.infocastvntg.YYYY-MM-DD.HHMMSS.SSS.ool_order_open_lob.dat.gz.pgp</t>
  </si>
  <si>
    <t>OTL</t>
  </si>
  <si>
    <t>OTL_TROUBLE_CALL_LOB</t>
  </si>
  <si>
    <t>ndwinfoc.infocastvntg.YYYY-MM-DD.HHMMSS.SSS.otl_trouble_call_lob.dat.gz.pgp</t>
  </si>
  <si>
    <t>OCR</t>
  </si>
  <si>
    <t>OCR_ORDER_COMP</t>
  </si>
  <si>
    <t>ndwinfoc.infocastvntg.YYYY-MM-DD.HHMMSS.SSS.ocr_order_comp.dat.gz.pgp</t>
  </si>
  <si>
    <t>OOR</t>
  </si>
  <si>
    <t>OOR_ORDER_OPEN</t>
  </si>
  <si>
    <t>ndwinfoc.infocastvntg.YYYY-MM-DD.HHMMSS.SSS.oor_order_open.dat.gz.pgp</t>
  </si>
  <si>
    <t>OTR</t>
  </si>
  <si>
    <t>OTR_TROUBLE_CALL</t>
  </si>
  <si>
    <t>ndwinfoc.infocastvntg.YYYY-MM-DD.HHMMSS.SSS.otr_trouble_call.dat.gz.pgp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</si>
</sst>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d\ mm/dd\ hh:mm\ AM/PM"/>
    <numFmt numFmtId="166" formatCode="mm/dd/yyyy"/>
  </numFmts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Tahoma"/>
      <family val="2"/>
    </font>
    <font>
      <sz val="11"/>
      <color rgb="FF222222"/>
      <name val="Tahoma"/>
      <family val="2"/>
    </font>
    <font>
      <b/>
      <sz val="11"/>
      <color theme="0"/>
      <name val="Tahom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rgb="FF222222"/>
      <name val="Tahoma"/>
      <family val="2"/>
    </font>
    <font>
      <sz val="9"/>
      <color rgb="FF222222"/>
      <name val="Tahoma"/>
      <family val="2"/>
    </font>
    <font>
      <sz val="9"/>
      <color rgb="FF555555"/>
      <name val="Tahoma"/>
      <family val="2"/>
    </font>
    <font>
      <sz val="11"/>
      <color rgb="FF555555"/>
      <name val="Calibri"/>
      <family val="2"/>
      <scheme val="minor"/>
    </font>
    <font>
      <sz val="11"/>
      <color rgb="FF22222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 style="thin">
        <color rgb="FF7F7F7F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96">
    <xf numFmtId="0" fontId="0" fillId="0" borderId="0" xfId="0"/>
    <xf numFmtId="0" fontId="6" fillId="2" borderId="0" xfId="1" applyFont="1" applyAlignment="1">
      <alignment horizontal="right"/>
    </xf>
    <xf numFmtId="49" fontId="0" fillId="0" borderId="0" xfId="0" applyNumberFormat="1"/>
    <xf numFmtId="49" fontId="2" fillId="3" borderId="1" xfId="2" applyNumberFormat="1"/>
    <xf numFmtId="49" fontId="2" fillId="0" borderId="1" xfId="2" applyNumberFormat="1" applyFill="1"/>
    <xf numFmtId="165" fontId="0" fillId="0" borderId="0" xfId="0" applyNumberFormat="1"/>
    <xf numFmtId="0" fontId="5" fillId="0" borderId="4" xfId="0" applyFont="1" applyBorder="1" applyAlignment="1">
      <alignment vertical="center" wrapText="1"/>
    </xf>
    <xf numFmtId="165" fontId="5" fillId="0" borderId="4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65" fontId="5" fillId="0" borderId="6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65" fontId="5" fillId="0" borderId="2" xfId="0" applyNumberFormat="1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22" fontId="8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4" fontId="12" fillId="0" borderId="4" xfId="0" applyNumberFormat="1" applyFont="1" applyBorder="1" applyAlignment="1">
      <alignment vertical="center" wrapText="1"/>
    </xf>
    <xf numFmtId="14" fontId="12" fillId="0" borderId="6" xfId="0" applyNumberFormat="1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165" fontId="5" fillId="0" borderId="5" xfId="0" applyNumberFormat="1" applyFont="1" applyBorder="1" applyAlignment="1">
      <alignment vertical="center" wrapText="1"/>
    </xf>
    <xf numFmtId="165" fontId="5" fillId="0" borderId="7" xfId="0" applyNumberFormat="1" applyFont="1" applyBorder="1" applyAlignment="1">
      <alignment vertical="center" wrapText="1"/>
    </xf>
    <xf numFmtId="166" fontId="0" fillId="0" borderId="0" xfId="0" applyNumberFormat="1"/>
    <xf numFmtId="166" fontId="2" fillId="3" borderId="1" xfId="2" applyNumberFormat="1"/>
    <xf numFmtId="165" fontId="2" fillId="3" borderId="1" xfId="2" applyNumberFormat="1"/>
    <xf numFmtId="166" fontId="2" fillId="0" borderId="1" xfId="2" applyNumberFormat="1" applyFill="1"/>
    <xf numFmtId="165" fontId="2" fillId="0" borderId="1" xfId="2" applyNumberFormat="1" applyFill="1"/>
    <xf numFmtId="0" fontId="5" fillId="8" borderId="4" xfId="0" applyFont="1" applyFill="1" applyBorder="1" applyAlignment="1">
      <alignment vertical="center" wrapText="1"/>
    </xf>
    <xf numFmtId="0" fontId="11" fillId="8" borderId="4" xfId="0" applyFont="1" applyFill="1" applyBorder="1" applyAlignment="1">
      <alignment vertical="center" wrapText="1"/>
    </xf>
    <xf numFmtId="165" fontId="5" fillId="8" borderId="5" xfId="0" applyNumberFormat="1" applyFont="1" applyFill="1" applyBorder="1" applyAlignment="1">
      <alignment vertical="center" wrapText="1"/>
    </xf>
    <xf numFmtId="164" fontId="1" fillId="2" borderId="0" xfId="1" applyNumberFormat="1" applyFont="1" applyAlignment="1">
      <alignment horizontal="center"/>
    </xf>
    <xf numFmtId="0" fontId="1" fillId="2" borderId="0" xfId="1" applyFont="1" applyAlignment="1">
      <alignment horizontal="left"/>
    </xf>
    <xf numFmtId="0" fontId="1" fillId="2" borderId="0" xfId="1"/>
    <xf numFmtId="0" fontId="13" fillId="2" borderId="0" xfId="1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164" fontId="13" fillId="2" borderId="0" xfId="1" applyNumberFormat="1" applyFont="1" applyAlignment="1">
      <alignment horizontal="center"/>
    </xf>
    <xf numFmtId="0" fontId="14" fillId="2" borderId="0" xfId="1" applyFont="1"/>
    <xf numFmtId="49" fontId="0" fillId="0" borderId="12" xfId="0" applyNumberFormat="1" applyBorder="1"/>
    <xf numFmtId="49" fontId="2" fillId="0" borderId="1" xfId="2" applyNumberFormat="1" applyFill="1" applyBorder="1"/>
    <xf numFmtId="166" fontId="2" fillId="0" borderId="1" xfId="2" applyNumberFormat="1" applyFill="1" applyBorder="1"/>
    <xf numFmtId="165" fontId="2" fillId="0" borderId="1" xfId="2" applyNumberFormat="1" applyFill="1" applyBorder="1"/>
    <xf numFmtId="0" fontId="8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 indent="1"/>
    </xf>
    <xf numFmtId="0" fontId="5" fillId="0" borderId="6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0" fillId="0" borderId="19" xfId="0" applyBorder="1"/>
    <xf numFmtId="0" fontId="2" fillId="3" borderId="1" xfId="2" applyAlignment="1">
      <alignment vertical="center" wrapText="1"/>
    </xf>
    <xf numFmtId="0" fontId="5" fillId="10" borderId="21" xfId="0" applyFont="1" applyFill="1" applyBorder="1" applyAlignment="1">
      <alignment vertical="center" wrapText="1"/>
    </xf>
    <xf numFmtId="0" fontId="2" fillId="0" borderId="22" xfId="2" applyFill="1" applyBorder="1" applyAlignment="1">
      <alignment vertical="center" wrapText="1"/>
    </xf>
    <xf numFmtId="0" fontId="5" fillId="10" borderId="15" xfId="0" applyFont="1" applyFill="1" applyBorder="1" applyAlignment="1">
      <alignment vertical="center" wrapText="1"/>
    </xf>
    <xf numFmtId="0" fontId="2" fillId="0" borderId="4" xfId="2" applyFill="1" applyBorder="1" applyAlignment="1">
      <alignment vertical="center" wrapText="1"/>
    </xf>
    <xf numFmtId="0" fontId="2" fillId="0" borderId="4" xfId="2" applyNumberFormat="1" applyFill="1" applyBorder="1" applyAlignment="1">
      <alignment vertical="center" wrapText="1"/>
    </xf>
    <xf numFmtId="0" fontId="2" fillId="0" borderId="6" xfId="2" applyNumberFormat="1" applyFill="1" applyBorder="1" applyAlignment="1">
      <alignment vertical="center" wrapText="1"/>
    </xf>
    <xf numFmtId="165" fontId="7" fillId="0" borderId="22" xfId="2" applyNumberFormat="1" applyFont="1" applyFill="1" applyBorder="1" applyAlignment="1">
      <alignment vertical="center" wrapText="1"/>
    </xf>
    <xf numFmtId="165" fontId="7" fillId="0" borderId="4" xfId="2" applyNumberFormat="1" applyFont="1" applyFill="1" applyBorder="1" applyAlignment="1">
      <alignment vertical="center" wrapText="1"/>
    </xf>
    <xf numFmtId="165" fontId="7" fillId="0" borderId="6" xfId="2" applyNumberFormat="1" applyFont="1" applyFill="1" applyBorder="1" applyAlignment="1">
      <alignment vertical="center" wrapText="1"/>
    </xf>
    <xf numFmtId="165" fontId="15" fillId="3" borderId="1" xfId="2" applyNumberFormat="1" applyFont="1" applyAlignment="1">
      <alignment vertical="center" wrapText="1"/>
    </xf>
    <xf numFmtId="0" fontId="2" fillId="3" borderId="9" xfId="2" applyBorder="1" applyAlignment="1">
      <alignment vertical="center" wrapText="1"/>
    </xf>
    <xf numFmtId="165" fontId="5" fillId="0" borderId="3" xfId="0" applyNumberFormat="1" applyFont="1" applyBorder="1" applyAlignment="1">
      <alignment vertical="center" wrapText="1"/>
    </xf>
    <xf numFmtId="14" fontId="7" fillId="0" borderId="15" xfId="0" applyNumberFormat="1" applyFont="1" applyBorder="1" applyAlignment="1">
      <alignment vertical="center" wrapText="1"/>
    </xf>
    <xf numFmtId="14" fontId="7" fillId="0" borderId="23" xfId="0" applyNumberFormat="1" applyFont="1" applyBorder="1" applyAlignment="1">
      <alignment vertical="center" wrapText="1"/>
    </xf>
    <xf numFmtId="0" fontId="0" fillId="0" borderId="0" xfId="0" applyAlignment="1"/>
    <xf numFmtId="0" fontId="11" fillId="0" borderId="0" xfId="0" applyFont="1" applyAlignment="1"/>
    <xf numFmtId="14" fontId="7" fillId="0" borderId="21" xfId="0" applyNumberFormat="1" applyFont="1" applyBorder="1" applyAlignment="1">
      <alignment vertical="center" wrapText="1"/>
    </xf>
    <xf numFmtId="14" fontId="12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5" fontId="5" fillId="0" borderId="24" xfId="0" applyNumberFormat="1" applyFont="1" applyBorder="1" applyAlignment="1">
      <alignment vertical="center" wrapText="1"/>
    </xf>
    <xf numFmtId="165" fontId="5" fillId="0" borderId="20" xfId="0" applyNumberFormat="1" applyFont="1" applyBorder="1" applyAlignment="1">
      <alignment vertical="center" wrapText="1"/>
    </xf>
    <xf numFmtId="165" fontId="5" fillId="0" borderId="25" xfId="0" applyNumberFormat="1" applyFont="1" applyBorder="1" applyAlignment="1">
      <alignment vertical="center" wrapText="1"/>
    </xf>
    <xf numFmtId="165" fontId="5" fillId="0" borderId="26" xfId="0" applyNumberFormat="1" applyFont="1" applyBorder="1" applyAlignment="1">
      <alignment vertical="center" wrapText="1"/>
    </xf>
    <xf numFmtId="0" fontId="2" fillId="3" borderId="27" xfId="2" applyBorder="1" applyAlignment="1">
      <alignment vertical="center" wrapText="1"/>
    </xf>
    <xf numFmtId="0" fontId="0" fillId="0" borderId="19" xfId="0" applyFill="1" applyBorder="1"/>
    <xf numFmtId="165" fontId="1" fillId="2" borderId="8" xfId="1" applyNumberFormat="1" applyBorder="1" applyAlignment="1">
      <alignment vertical="center" wrapText="1"/>
    </xf>
    <xf numFmtId="0" fontId="1" fillId="2" borderId="8" xfId="1" applyBorder="1" applyAlignment="1">
      <alignment vertical="center" wrapText="1"/>
    </xf>
    <xf numFmtId="14" fontId="5" fillId="8" borderId="15" xfId="0" applyNumberFormat="1" applyFont="1" applyFill="1" applyBorder="1" applyAlignment="1">
      <alignment vertical="center" wrapText="1"/>
    </xf>
    <xf numFmtId="0" fontId="1" fillId="2" borderId="13" xfId="1" applyBorder="1" applyAlignment="1">
      <alignment vertical="center" wrapText="1"/>
    </xf>
    <xf numFmtId="0" fontId="1" fillId="2" borderId="18" xfId="1" applyBorder="1" applyAlignment="1">
      <alignment vertical="center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7" fillId="0" borderId="0" xfId="0" applyFont="1" applyAlignment="1">
      <alignment wrapText="1"/>
    </xf>
    <xf numFmtId="0" fontId="19" fillId="9" borderId="28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20" fillId="5" borderId="0" xfId="0" applyFont="1" applyFill="1" applyAlignment="1">
      <alignment wrapText="1"/>
    </xf>
    <xf numFmtId="22" fontId="0" fillId="5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0" fontId="20" fillId="6" borderId="0" xfId="0" applyFont="1" applyFill="1" applyAlignment="1">
      <alignment wrapText="1"/>
    </xf>
    <xf numFmtId="22" fontId="0" fillId="6" borderId="0" xfId="0" applyNumberFormat="1" applyFill="1" applyAlignment="1">
      <alignment wrapText="1"/>
    </xf>
    <xf numFmtId="165" fontId="5" fillId="0" borderId="4" xfId="0" applyNumberFormat="1" applyFont="1" applyFill="1" applyBorder="1" applyAlignment="1">
      <alignment vertical="center" wrapText="1"/>
    </xf>
  </cellXfs>
  <cellStyles count="3">
    <cellStyle name="Calculation" xfId="2" builtinId="22"/>
    <cellStyle name="Good" xfId="1" builtinId="26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d\ mm/dd\ hh:mm\ AM/PM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d\ mm/dd\ hh:mm\ AM/PM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m/d/yyyy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d\ mm/dd\ hh:mm\ AM/P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d\ mm/dd\ hh:mm\ AM/P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d\ mm/dd\ hh:mm\ AM/PM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d\ mm/dd\ hh:mm\ AM/PM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numFmt numFmtId="165" formatCode="ddd\ mm/dd\ hh:mm\ AM/PM"/>
      <fill>
        <patternFill patternType="none">
          <fgColor indexed="64"/>
          <bgColor auto="1"/>
        </patternFill>
      </fill>
      <border outline="0">
        <left style="thin">
          <color rgb="FF7F7F7F"/>
        </left>
      </border>
    </dxf>
    <dxf>
      <numFmt numFmtId="166" formatCode="mm/dd/yyyy"/>
      <fill>
        <patternFill patternType="none">
          <fgColor indexed="64"/>
          <bgColor auto="1"/>
        </patternFill>
      </fill>
      <border outline="0">
        <right style="thin">
          <color rgb="FF7F7F7F"/>
        </right>
      </border>
    </dxf>
    <dxf>
      <numFmt numFmtId="30" formatCode="@"/>
      <fill>
        <patternFill patternType="none">
          <fgColor indexed="64"/>
          <bgColor auto="1"/>
        </patternFill>
      </fill>
      <border outline="0">
        <right style="thin">
          <color rgb="FF7F7F7F"/>
        </right>
      </border>
    </dxf>
    <dxf>
      <numFmt numFmtId="30" formatCode="@"/>
      <border outline="0">
        <right style="thin">
          <color rgb="FF7F7F7F"/>
        </right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152399</xdr:rowOff>
    </xdr:from>
    <xdr:to>
      <xdr:col>14</xdr:col>
      <xdr:colOff>409575</xdr:colOff>
      <xdr:row>16</xdr:row>
      <xdr:rowOff>161924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13F36C-79CE-47FE-A1E0-8EDF9B77ED61}"/>
            </a:ext>
          </a:extLst>
        </xdr:cNvPr>
        <xdr:cNvSpPr txBox="1"/>
      </xdr:nvSpPr>
      <xdr:spPr>
        <a:xfrm>
          <a:off x="11220450" y="152399"/>
          <a:ext cx="3495675" cy="30575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*</a:t>
          </a:r>
        </a:p>
        <a:p>
          <a:r>
            <a:rPr lang="en-US" sz="1100"/>
            <a:t>from ops$DEN.DAILY_COMPLETION</a:t>
          </a:r>
        </a:p>
        <a:p>
          <a:r>
            <a:rPr lang="en-US" sz="1100"/>
            <a:t>where PROCESS_TYPE != 'PURGE'</a:t>
          </a:r>
        </a:p>
        <a:p>
          <a:r>
            <a:rPr lang="en-US" sz="1100"/>
            <a:t>union</a:t>
          </a:r>
        </a:p>
        <a:p>
          <a:r>
            <a:rPr lang="en-US" sz="1100"/>
            <a:t>select *</a:t>
          </a:r>
        </a:p>
        <a:p>
          <a:r>
            <a:rPr lang="en-US" sz="1100"/>
            <a:t>from ops$SLC.DAILY_COMPLETION</a:t>
          </a:r>
        </a:p>
        <a:p>
          <a:r>
            <a:rPr lang="en-US" sz="1100"/>
            <a:t>where PROCESS_TYPE != 'PURGE'</a:t>
          </a:r>
        </a:p>
        <a:p>
          <a:r>
            <a:rPr lang="en-US" sz="1100"/>
            <a:t>union</a:t>
          </a:r>
        </a:p>
        <a:p>
          <a:r>
            <a:rPr lang="en-US" sz="1100"/>
            <a:t>select *</a:t>
          </a:r>
        </a:p>
        <a:p>
          <a:r>
            <a:rPr lang="en-US" sz="1100"/>
            <a:t>from ops$WOM.DAILY_COMPLETION</a:t>
          </a:r>
        </a:p>
        <a:p>
          <a:r>
            <a:rPr lang="en-US" sz="1100"/>
            <a:t>where PROCESS_TYPE != 'PURGE'</a:t>
          </a:r>
        </a:p>
        <a:p>
          <a:r>
            <a:rPr lang="en-US" sz="1100"/>
            <a:t>order by 1, 3, 5</a:t>
          </a:r>
        </a:p>
        <a:p>
          <a:r>
            <a:rPr lang="en-US" sz="1100"/>
            <a:t>;</a:t>
          </a:r>
          <a:endParaRPr lang="en-US" sz="1100">
            <a:solidFill>
              <a:srgbClr val="FF0000"/>
            </a:solidFill>
          </a:endParaRPr>
        </a:p>
        <a:p>
          <a:r>
            <a:rPr lang="en-US" sz="1100">
              <a:solidFill>
                <a:srgbClr val="FF0000"/>
              </a:solidFill>
            </a:rPr>
            <a:t>Copy and paste the results of this query into cell A2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142874</xdr:rowOff>
    </xdr:from>
    <xdr:to>
      <xdr:col>20</xdr:col>
      <xdr:colOff>590550</xdr:colOff>
      <xdr:row>14</xdr:row>
      <xdr:rowOff>66675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8353687C-3CFF-4BB4-9186-DD1C10F1C4D2}"/>
            </a:ext>
          </a:extLst>
        </xdr:cNvPr>
        <xdr:cNvSpPr txBox="1"/>
      </xdr:nvSpPr>
      <xdr:spPr>
        <a:xfrm>
          <a:off x="9867900" y="630554"/>
          <a:ext cx="7753350" cy="2781301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Log</a:t>
          </a:r>
          <a:r>
            <a:rPr lang="en-US" sz="1100" baseline="0">
              <a:solidFill>
                <a:srgbClr val="FF0000"/>
              </a:solidFill>
            </a:rPr>
            <a:t> into the SAND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Autosys Web Tool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>
              <a:solidFill>
                <a:srgbClr val="FF0000"/>
              </a:solidFill>
            </a:rPr>
            <a:t>Using</a:t>
          </a:r>
          <a:r>
            <a:rPr lang="en-US" sz="1100" baseline="0">
              <a:solidFill>
                <a:srgbClr val="FF0000"/>
              </a:solidFill>
            </a:rPr>
            <a:t> the 'Jobs' menu, seach for job_name like %VAN-INFOCAST-NDW-%-DLY as noted here:</a:t>
          </a:r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r>
            <a:rPr lang="en-US" sz="1100">
              <a:solidFill>
                <a:srgbClr val="FF0000"/>
              </a:solidFill>
            </a:rPr>
            <a:t>Highlight the headers</a:t>
          </a:r>
          <a:r>
            <a:rPr lang="en-US" sz="1100" baseline="0">
              <a:solidFill>
                <a:srgbClr val="FF0000"/>
              </a:solidFill>
            </a:rPr>
            <a:t> and all the rows from 'SAND Prod - C01' in the upper left to the the last '0' on the bottom right</a:t>
          </a:r>
        </a:p>
        <a:p>
          <a:r>
            <a:rPr lang="en-US" sz="1100" baseline="0">
              <a:solidFill>
                <a:srgbClr val="FF0000"/>
              </a:solidFill>
            </a:rPr>
            <a:t>and copy and then paste into cell A2 here.  </a:t>
          </a:r>
          <a:r>
            <a:rPr lang="en-US" sz="900" baseline="0">
              <a:solidFill>
                <a:sysClr val="windowText" lastClr="000000"/>
              </a:solidFill>
            </a:rPr>
            <a:t>(not exactly intuitive, but the process works;  over 400 rows of data copied for Comcast)</a:t>
          </a:r>
          <a:endParaRPr lang="en-US" sz="900">
            <a:solidFill>
              <a:sysClr val="windowText" lastClr="000000"/>
            </a:solidFill>
          </a:endParaRPr>
        </a:p>
        <a:p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243840</xdr:colOff>
      <xdr:row>4</xdr:row>
      <xdr:rowOff>13335</xdr:rowOff>
    </xdr:from>
    <xdr:to>
      <xdr:col>20</xdr:col>
      <xdr:colOff>461973</xdr:colOff>
      <xdr:row>8</xdr:row>
      <xdr:rowOff>60809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88836DA-939B-44EB-9FB9-5F56823F5A8C}"/>
            </a:ext>
            <a:ext uri="{147F2762-F138-4A5C-976F-8EAC2B608ADB}">
              <a16:predDERef xmlns:a16="http://schemas.microsoft.com/office/drawing/2014/main" pred="{8353687C-3CFF-4BB4-9186-DD1C10F1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340" y="1118235"/>
          <a:ext cx="7533333" cy="1190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423333</xdr:colOff>
      <xdr:row>1</xdr:row>
      <xdr:rowOff>10583</xdr:rowOff>
    </xdr:from>
    <xdr:to>
      <xdr:col>7</xdr:col>
      <xdr:colOff>656167</xdr:colOff>
      <xdr:row>2</xdr:row>
      <xdr:rowOff>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2FC5D4EC-CFD7-43E2-8655-49A40FF25529}"/>
            </a:ext>
          </a:extLst>
        </xdr:cNvPr>
        <xdr:cNvSpPr/>
      </xdr:nvSpPr>
      <xdr:spPr>
        <a:xfrm>
          <a:off x="6593416" y="201083"/>
          <a:ext cx="232834" cy="148167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sgsystems.sharepoint.com/teams/ComcastHouston8777AgentTransfer/Shared%20Documents/General/VCMC%20-%20all%20schemas%20-%20CST%20data%20-%20All%20reloa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ummary"/>
      <sheetName val="Start Time"/>
      <sheetName val="ST Chart"/>
      <sheetName val="End Time"/>
      <sheetName val="ET Chart"/>
      <sheetName val="MCE Time"/>
      <sheetName val="MCE Chart"/>
      <sheetName val="Duration"/>
      <sheetName val="Dur Chart"/>
      <sheetName val="RPPS"/>
      <sheetName val="RPPS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>
            <v>6.9444444444444441E-3</v>
          </cell>
          <cell r="D2">
            <v>2.0833333333333332E-2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 Willer" id="{C2A3A433-1AC0-40C6-8F4C-022758DD4BDB}" userId="S-1-5-21-3793588157-1358560263-2317250270-135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BB167-6570-4986-AC62-A5BB80BB6121}" name="DailyCompletionTable" displayName="DailyCompletionTable" ref="A1:H663" totalsRowShown="0" headerRowDxfId="32">
  <autoFilter ref="A1:H663" xr:uid="{F2F23D60-8076-4106-A333-9ED4C1F972D7}"/>
  <tableColumns count="8">
    <tableColumn id="1" xr3:uid="{937D3D6C-329F-40B8-B1D7-0732C51825CF}" name="OWNER" dataDxfId="31"/>
    <tableColumn id="2" xr3:uid="{9F1D8C7E-E1B2-4B76-97CC-377743436B54}" name="PROCESS_TYPE" dataDxfId="30"/>
    <tableColumn id="3" xr3:uid="{2E3A7C0D-3A30-4EC9-8C07-0D9421CF6CC6}" name="TABLE_NAME" dataDxfId="29"/>
    <tableColumn id="4" xr3:uid="{59DC9978-698D-4BE7-B4E7-6DD803A832BE}" name="PROCESS_DATE" dataDxfId="28"/>
    <tableColumn id="5" xr3:uid="{3031A06E-A3B8-4192-81B9-035A207200CB}" name="FINISH_DATE_TIME" dataDxfId="27"/>
    <tableColumn id="6" xr3:uid="{19F9A6A3-103C-475D-B7B8-468C308C8E7D}" name="Key" dataDxfId="26" dataCellStyle="Calculation">
      <calculatedColumnFormula>DailyCompletionTable[[#This Row],[TABLE_NAME]]&amp;DailyCompletionTable[[#This Row],[PROCESS_DATE]]</calculatedColumnFormula>
    </tableColumn>
    <tableColumn id="8" xr3:uid="{2475CE6C-FC06-4460-BA3A-38C007B28427}" name="Process Date" dataDxfId="25" dataCellStyle="Calculation">
      <calculatedColumnFormula>DATE(LEFT(DailyCompletionTable[[#This Row],[PROCESS_DATE]],4),MID(DailyCompletionTable[[#This Row],[PROCESS_DATE]],6,2),MID(DailyCompletionTable[[#This Row],[PROCESS_DATE]],9,2))</calculatedColumnFormula>
    </tableColumn>
    <tableColumn id="9" xr3:uid="{81B3F368-8913-4659-AFC3-39B8BC5BFB49}" name="Finish DateTime" dataDxfId="24" dataCellStyle="Calculation">
      <calculatedColumnFormula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F2FBC-7A6B-4CCE-8803-74A971B2C585}" name="ReloadStatusTable" displayName="ReloadStatusTable" ref="A3:P129" totalsRowShown="0" headerRowDxfId="20" dataDxfId="18" headerRowBorderDxfId="19" tableBorderDxfId="17" totalsRowBorderDxfId="16">
  <autoFilter ref="A3:P129" xr:uid="{EC4B51F1-ABDB-40B3-B4C4-41556B3BB30A}"/>
  <sortState xmlns:xlrd2="http://schemas.microsoft.com/office/spreadsheetml/2017/richdata2" ref="A4:P129">
    <sortCondition ref="F4:F129"/>
    <sortCondition ref="I4:I129"/>
    <sortCondition ref="B4:B129"/>
    <sortCondition ref="C4:C129"/>
  </sortState>
  <tableColumns count="16">
    <tableColumn id="10" xr3:uid="{68F8DF78-6CBB-4759-9F37-33F77E956671}" name="MSO" dataDxfId="15"/>
    <tableColumn id="1" xr3:uid="{301390EF-8DAC-4576-9697-62AF87DF77ED}" name="Subsystem" dataDxfId="14"/>
    <tableColumn id="2" xr3:uid="{F3E885F3-9269-46D9-AFD9-917918237B92}" name="Abbreviation" dataDxfId="13"/>
    <tableColumn id="11" xr3:uid="{5FD0D5EF-DC4F-4CED-A9F5-EAA1722D7ACE}" name="Table" dataDxfId="12" dataCellStyle="Calculation">
      <calculatedColumnFormula>_xlfn.TEXTJOIN("",TRUE, "VIP",ReloadStatusTable[[#This Row],[Abbreviation]],"T")</calculatedColumnFormula>
    </tableColumn>
    <tableColumn id="3" xr3:uid="{5C86E5F9-2F06-4612-8B47-0424D86E8468}" name="Vantage View Name" dataDxfId="11"/>
    <tableColumn id="4" xr3:uid="{D8C9DB0C-A313-4571-8CF4-44899C571001}" name="Forecasted Reload Completion Time (MT)" dataDxfId="10"/>
    <tableColumn id="12" xr3:uid="{D248999C-CACE-4863-B9E5-B09AC56C81A0}" name="Forecasted Reload Completion Time (CT)" dataDxfId="9" dataCellStyle="Calculation">
      <calculatedColumnFormula>ReloadStatusTable[[#This Row],[Forecasted Reload Completion Time (MT)]]+1/24</calculatedColumnFormula>
    </tableColumn>
    <tableColumn id="5" xr3:uid="{03A9D2C3-48D8-49A7-82F3-505718700EA7}" name="Vantage Table Reload Status " dataDxfId="8">
      <calculatedColumnFormula>IF(ReloadStatusTable[[#This Row],[Actual Completion time (MT)]]="","not done yet","Complete")</calculatedColumnFormula>
    </tableColumn>
    <tableColumn id="6" xr3:uid="{9C2FAEED-BF30-4B23-8578-14A6C15BB33D}" name="Actual Completion time (MT)" dataDxfId="7">
      <calculatedColumnFormula>_xlfn.XLOOKUP(CONCATENATE(ReloadStatusTable[[#This Row],[Table]],TEXT(Process_Date,"yyyy-mm-dd")),'Daily_Completion Status'!F:F,'Daily_Completion Status'!H:H,"",0)</calculatedColumnFormula>
    </tableColumn>
    <tableColumn id="15" xr3:uid="{656C1F2A-5516-45E4-BFD3-DFBB8E7D6DE8}" name="Actual Completion time (CT)" dataDxfId="6">
      <calculatedColumnFormula>ReloadStatusTable[[#This Row],[Actual Completion time (MT)]]+1/24</calculatedColumnFormula>
    </tableColumn>
    <tableColumn id="13" xr3:uid="{1AFE0CC4-0117-4CA2-919C-6A3BCDF15C49}" name="DWH Infocast Jobname" dataDxfId="5">
      <calculatedColumnFormula>_xlfn.TEXTJOIN("",TRUE, "VAN-INFOCAST-NDW-",ReloadStatusTable[[#This Row],[MSO]],"-",IF(ReloadStatusTable[[#This Row],[Abbreviation]]="HSB","HSE",IF(ReloadStatusTable[[#This Row],[Abbreviation]]="OJB","JOB",ReloadStatusTable[[#This Row],[Abbreviation]])),"-DLY")</calculatedColumnFormula>
    </tableColumn>
    <tableColumn id="14" xr3:uid="{09D56661-3F22-449E-AD4E-111CEE5CBED6}" name="DWH Infocast Filename" dataDxfId="4"/>
    <tableColumn id="7" xr3:uid="{006F2C30-1823-450A-967F-EF56F2B2DE11}" name="Forecasted DWH Infocast File Delivery Time (MT)" dataDxfId="3"/>
    <tableColumn id="8" xr3:uid="{435CB723-FACE-4D7E-B785-21283B965B20}" name="DWH Infocast Status " dataDxfId="2">
      <calculatedColumnFormula>IF(ReloadStatusTable[[#This Row],[DWH Infocast Jobname]]="N/A","N/A",IF(ReloadStatusTable[[#This Row],[DWH Infocast File Actual Delivery Time (MT)]]="","not delivered yet","Delivered"))</calculatedColumnFormula>
    </tableColumn>
    <tableColumn id="9" xr3:uid="{0AAC12E7-6CEA-4F7E-8B18-BC4B1FC5035D}" name="DWH Infocast File Actual Delivery Time (MT)" dataDxfId="1">
      <calculatedColumnFormula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calculatedColumnFormula>
    </tableColumn>
    <tableColumn id="16" xr3:uid="{A8A55371-6E2A-460C-B3D6-731E27C55418}" name="DWH Infocast File Actual Delivery Time (CT)" dataDxfId="0">
      <calculatedColumnFormula>ReloadStatusTable[[#This Row],[DWH Infocast File Actual Delivery Time (MT)]] + 1/24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0-11-03T19:27:04.97" personId="{C2A3A433-1AC0-40C6-8F4C-022758DD4BDB}" id="{A2F57137-99FA-454D-B88C-62F4ACE90A56}">
    <text>=IF([@[Actual Completion time (CT)]]="","not done yet","Complete")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insidecsg.csgsystems.com/bbsdocs/content/ILMDoc/Vantage/doclib/Current/Vantage/Content/Documentation/OCL_ORDER_COMP_LOB.htm?Highlight=OCL" TargetMode="External"/><Relationship Id="rId13" Type="http://schemas.openxmlformats.org/officeDocument/2006/relationships/hyperlink" Target="http://insidecsg.csgsystems.com/bbsdocs/content/ILMDoc/Vantage/doclib/Current/Vantage/Content/Documentation/OOR_ORDER_OPEN.htm?Highlight=OOR" TargetMode="External"/><Relationship Id="rId18" Type="http://schemas.openxmlformats.org/officeDocument/2006/relationships/hyperlink" Target="http://insidecsg.csgsystems.com/bbsdocs/content/ILMDoc/Vantage/doclib/Current/Vantage/Content/Documentation/OJB_JOBS.htm?Highlight=OJB" TargetMode="External"/><Relationship Id="rId26" Type="http://schemas.openxmlformats.org/officeDocument/2006/relationships/drawing" Target="../drawings/drawing3.xml"/><Relationship Id="rId3" Type="http://schemas.openxmlformats.org/officeDocument/2006/relationships/hyperlink" Target="http://insidecsg.csgsystems.com/bbsdocs/content/ILMDoc/Vantage/doclib/Current/Vantage/Content/Documentation/OAJ_AUDIT.htm?Highlight=OAJ" TargetMode="External"/><Relationship Id="rId21" Type="http://schemas.openxmlformats.org/officeDocument/2006/relationships/hyperlink" Target="http://insidecsg.csgsystems.com/bbsdocs/content/ILMDoc/Vantage/doclib/Current/Vantage/Content/Documentation/OOR_ORDER_OPEN.htm?Highlight=OOR" TargetMode="External"/><Relationship Id="rId7" Type="http://schemas.openxmlformats.org/officeDocument/2006/relationships/hyperlink" Target="http://insidecsg.csgsystems.com/bbsdocs/content/ILMDoc/Vantage/doclib/Current/Vantage/Content/Documentation/OTR_TROUBLE_CALL.htm?Highlight=OTR" TargetMode="External"/><Relationship Id="rId12" Type="http://schemas.openxmlformats.org/officeDocument/2006/relationships/hyperlink" Target="http://insidecsg.csgsystems.com/bbsdocs/content/ILMDoc/Vantage/doclib/Current/Vantage/Content/Documentation/OAO_AUDIT.htm?Highlight=OAO" TargetMode="External"/><Relationship Id="rId17" Type="http://schemas.openxmlformats.org/officeDocument/2006/relationships/hyperlink" Target="http://insidecsg.csgsystems.com/bbsdocs/content/ILMDoc/Vantage/doclib/Current/Vantage/Content/Documentation/OJA_JOBS_ALT_ADDR.htm?Highlight=OJA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://insidecsg.csgsystems.com/bbsdocs/content/ILMDoc/Vantage/doclib/Current/Vantage/Content/Documentation/OJB_JOBS.htm?Highlight=OJB" TargetMode="External"/><Relationship Id="rId16" Type="http://schemas.openxmlformats.org/officeDocument/2006/relationships/hyperlink" Target="http://insidecsg.csgsystems.com/bbsdocs/content/ILMDoc/Vantage/doclib/Current/Vantage/Content/Documentation/OCL_ORDER_COMP_LOB.htm?Highlight=OCL" TargetMode="External"/><Relationship Id="rId20" Type="http://schemas.openxmlformats.org/officeDocument/2006/relationships/hyperlink" Target="http://insidecsg.csgsystems.com/bbsdocs/content/ILMDoc/Vantage/doclib/Current/Vantage/Content/Documentation/OAO_AUDIT.htm?Highlight=OAO" TargetMode="External"/><Relationship Id="rId29" Type="http://schemas.openxmlformats.org/officeDocument/2006/relationships/comments" Target="../comments1.xml"/><Relationship Id="rId1" Type="http://schemas.openxmlformats.org/officeDocument/2006/relationships/hyperlink" Target="http://insidecsg.csgsystems.com/bbsdocs/content/ILMDoc/Vantage/doclib/Current/Vantage/Content/Documentation/OJA_JOBS_ALT_ADDR.htm?Highlight=OJA" TargetMode="External"/><Relationship Id="rId6" Type="http://schemas.openxmlformats.org/officeDocument/2006/relationships/hyperlink" Target="http://insidecsg.csgsystems.com/bbsdocs/content/ILMDoc/Vantage/doclib/Current/Vantage/Content/Documentation/OCR_ORDER_COMP.htm?Highlight=OCR" TargetMode="External"/><Relationship Id="rId11" Type="http://schemas.openxmlformats.org/officeDocument/2006/relationships/hyperlink" Target="http://insidecsg.csgsystems.com/bbsdocs/content/ILMDoc/Vantage/doclib/Current/Vantage/Content/Documentation/OAJ_AUDIT.htm?Highlight=OAJ" TargetMode="External"/><Relationship Id="rId24" Type="http://schemas.openxmlformats.org/officeDocument/2006/relationships/hyperlink" Target="http://insidecsg.csgsystems.com/bbsdocs/content/ILMDoc/Vantage/doclib/Current/Vantage/Content/Documentation/OCL_ORDER_COMP_LOB.htm?Highlight=OCL" TargetMode="External"/><Relationship Id="rId5" Type="http://schemas.openxmlformats.org/officeDocument/2006/relationships/hyperlink" Target="http://insidecsg.csgsystems.com/bbsdocs/content/ILMDoc/Vantage/doclib/Current/Vantage/Content/Documentation/OOR_ORDER_OPEN.htm?Highlight=OOR" TargetMode="External"/><Relationship Id="rId15" Type="http://schemas.openxmlformats.org/officeDocument/2006/relationships/hyperlink" Target="http://insidecsg.csgsystems.com/bbsdocs/content/ILMDoc/Vantage/doclib/Current/Vantage/Content/Documentation/OTR_TROUBLE_CALL.htm?Highlight=OTR" TargetMode="External"/><Relationship Id="rId23" Type="http://schemas.openxmlformats.org/officeDocument/2006/relationships/hyperlink" Target="http://insidecsg.csgsystems.com/bbsdocs/content/ILMDoc/Vantage/doclib/Current/Vantage/Content/Documentation/OTR_TROUBLE_CALL.htm?Highlight=OTR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://insidecsg.csgsystems.com/bbsdocs/content/ILMDoc/Vantage/doclib/Current/Vantage/Content/Documentation/OJB_JOBS.htm?Highlight=OJB" TargetMode="External"/><Relationship Id="rId19" Type="http://schemas.openxmlformats.org/officeDocument/2006/relationships/hyperlink" Target="http://insidecsg.csgsystems.com/bbsdocs/content/ILMDoc/Vantage/doclib/Current/Vantage/Content/Documentation/OAJ_AUDIT.htm?Highlight=OAJ" TargetMode="External"/><Relationship Id="rId4" Type="http://schemas.openxmlformats.org/officeDocument/2006/relationships/hyperlink" Target="http://insidecsg.csgsystems.com/bbsdocs/content/ILMDoc/Vantage/doclib/Current/Vantage/Content/Documentation/OAO_AUDIT.htm?Highlight=OAO" TargetMode="External"/><Relationship Id="rId9" Type="http://schemas.openxmlformats.org/officeDocument/2006/relationships/hyperlink" Target="http://insidecsg.csgsystems.com/bbsdocs/content/ILMDoc/Vantage/doclib/Current/Vantage/Content/Documentation/OJA_JOBS_ALT_ADDR.htm?Highlight=OJA" TargetMode="External"/><Relationship Id="rId14" Type="http://schemas.openxmlformats.org/officeDocument/2006/relationships/hyperlink" Target="http://insidecsg.csgsystems.com/bbsdocs/content/ILMDoc/Vantage/doclib/Current/Vantage/Content/Documentation/OCR_ORDER_COMP.htm?Highlight=OCR" TargetMode="External"/><Relationship Id="rId22" Type="http://schemas.openxmlformats.org/officeDocument/2006/relationships/hyperlink" Target="http://insidecsg.csgsystems.com/bbsdocs/content/ILMDoc/Vantage/doclib/Current/Vantage/Content/Documentation/OCR_ORDER_COMP.htm?Highlight=OCR" TargetMode="External"/><Relationship Id="rId27" Type="http://schemas.openxmlformats.org/officeDocument/2006/relationships/vmlDrawing" Target="../drawings/vmlDrawing1.vml"/><Relationship Id="rId30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7E2B-03F8-4EBF-9D3C-7EC36035C126}">
  <dimension ref="A1:H663"/>
  <sheetViews>
    <sheetView workbookViewId="0">
      <pane ySplit="1" topLeftCell="A2" activePane="bottomLeft" state="frozen"/>
      <selection pane="bottomLeft" activeCell="K26" sqref="K26"/>
    </sheetView>
  </sheetViews>
  <sheetFormatPr defaultRowHeight="14.4" x14ac:dyDescent="0.3"/>
  <cols>
    <col min="1" max="1" width="10.109375" customWidth="1"/>
    <col min="2" max="2" width="16.33203125" customWidth="1"/>
    <col min="3" max="3" width="26.5546875" bestFit="1" customWidth="1"/>
    <col min="4" max="4" width="16.5546875" customWidth="1"/>
    <col min="5" max="5" width="20" customWidth="1"/>
    <col min="6" max="6" width="36.33203125" bestFit="1" customWidth="1"/>
    <col min="7" max="7" width="14.6640625" style="22" bestFit="1" customWidth="1"/>
    <col min="8" max="8" width="19.109375" style="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3" t="s">
        <v>6</v>
      </c>
      <c r="H1" s="24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 t="str">
        <f>DailyCompletionTable[[#This Row],[TABLE_NAME]]&amp;DailyCompletionTable[[#This Row],[PROCESS_DATE]]</f>
        <v>PAC_ACCOUNT2021-01-29</v>
      </c>
      <c r="G2" s="25">
        <f>DATE(LEFT(DailyCompletionTable[[#This Row],[PROCESS_DATE]],4),MID(DailyCompletionTable[[#This Row],[PROCESS_DATE]],6,2),MID(DailyCompletionTable[[#This Row],[PROCESS_DATE]],9,2))</f>
        <v>44225</v>
      </c>
      <c r="H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" spans="1:8" x14ac:dyDescent="0.3">
      <c r="A3" s="2" t="s">
        <v>8</v>
      </c>
      <c r="B3" s="2" t="s">
        <v>9</v>
      </c>
      <c r="C3" s="2" t="s">
        <v>13</v>
      </c>
      <c r="D3" s="2" t="s">
        <v>11</v>
      </c>
      <c r="E3" s="2" t="s">
        <v>12</v>
      </c>
      <c r="F3" s="4" t="str">
        <f>DailyCompletionTable[[#This Row],[TABLE_NAME]]&amp;DailyCompletionTable[[#This Row],[PROCESS_DATE]]</f>
        <v>PAG_AVAIL_GROUP2021-01-29</v>
      </c>
      <c r="G3" s="25">
        <f>DATE(LEFT(DailyCompletionTable[[#This Row],[PROCESS_DATE]],4),MID(DailyCompletionTable[[#This Row],[PROCESS_DATE]],6,2),MID(DailyCompletionTable[[#This Row],[PROCESS_DATE]],9,2))</f>
        <v>44225</v>
      </c>
      <c r="H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4" spans="1:8" x14ac:dyDescent="0.3">
      <c r="A4" s="2" t="s">
        <v>8</v>
      </c>
      <c r="B4" s="2" t="s">
        <v>9</v>
      </c>
      <c r="C4" s="2" t="s">
        <v>14</v>
      </c>
      <c r="D4" s="2" t="s">
        <v>11</v>
      </c>
      <c r="E4" s="2" t="s">
        <v>12</v>
      </c>
      <c r="F4" s="4" t="str">
        <f>DailyCompletionTable[[#This Row],[TABLE_NAME]]&amp;DailyCompletionTable[[#This Row],[PROCESS_DATE]]</f>
        <v>PAP_AITM_PARM_VAL2021-01-29</v>
      </c>
      <c r="G4" s="25">
        <f>DATE(LEFT(DailyCompletionTable[[#This Row],[PROCESS_DATE]],4),MID(DailyCompletionTable[[#This Row],[PROCESS_DATE]],6,2),MID(DailyCompletionTable[[#This Row],[PROCESS_DATE]],9,2))</f>
        <v>44225</v>
      </c>
      <c r="H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5" spans="1:8" x14ac:dyDescent="0.3">
      <c r="A5" s="2" t="s">
        <v>8</v>
      </c>
      <c r="B5" s="2" t="s">
        <v>9</v>
      </c>
      <c r="C5" s="2" t="s">
        <v>15</v>
      </c>
      <c r="D5" s="2" t="s">
        <v>11</v>
      </c>
      <c r="E5" s="2" t="s">
        <v>12</v>
      </c>
      <c r="F5" s="4" t="str">
        <f>DailyCompletionTable[[#This Row],[TABLE_NAME]]&amp;DailyCompletionTable[[#This Row],[PROCESS_DATE]]</f>
        <v>PAS_ACCT_SERV_ITM2021-01-29</v>
      </c>
      <c r="G5" s="25">
        <f>DATE(LEFT(DailyCompletionTable[[#This Row],[PROCESS_DATE]],4),MID(DailyCompletionTable[[#This Row],[PROCESS_DATE]],6,2),MID(DailyCompletionTable[[#This Row],[PROCESS_DATE]],9,2))</f>
        <v>44225</v>
      </c>
      <c r="H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6" spans="1:8" x14ac:dyDescent="0.3">
      <c r="A6" s="2" t="s">
        <v>8</v>
      </c>
      <c r="B6" s="2" t="s">
        <v>9</v>
      </c>
      <c r="C6" s="2" t="s">
        <v>16</v>
      </c>
      <c r="D6" s="2" t="s">
        <v>11</v>
      </c>
      <c r="E6" s="2" t="s">
        <v>12</v>
      </c>
      <c r="F6" s="4" t="str">
        <f>DailyCompletionTable[[#This Row],[TABLE_NAME]]&amp;DailyCompletionTable[[#This Row],[PROCESS_DATE]]</f>
        <v>PAT_AVAIL_CATG2021-01-29</v>
      </c>
      <c r="G6" s="25">
        <f>DATE(LEFT(DailyCompletionTable[[#This Row],[PROCESS_DATE]],4),MID(DailyCompletionTable[[#This Row],[PROCESS_DATE]],6,2),MID(DailyCompletionTable[[#This Row],[PROCESS_DATE]],9,2))</f>
        <v>44225</v>
      </c>
      <c r="H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7" spans="1:8" x14ac:dyDescent="0.3">
      <c r="A7" s="2" t="s">
        <v>8</v>
      </c>
      <c r="B7" s="2" t="s">
        <v>9</v>
      </c>
      <c r="C7" s="2" t="s">
        <v>17</v>
      </c>
      <c r="D7" s="2" t="s">
        <v>11</v>
      </c>
      <c r="E7" s="2" t="s">
        <v>12</v>
      </c>
      <c r="F7" s="4" t="str">
        <f>DailyCompletionTable[[#This Row],[TABLE_NAME]]&amp;DailyCompletionTable[[#This Row],[PROCESS_DATE]]</f>
        <v>PBK_TN_BLOCK2021-01-29</v>
      </c>
      <c r="G7" s="25">
        <f>DATE(LEFT(DailyCompletionTable[[#This Row],[PROCESS_DATE]],4),MID(DailyCompletionTable[[#This Row],[PROCESS_DATE]],6,2),MID(DailyCompletionTable[[#This Row],[PROCESS_DATE]],9,2))</f>
        <v>44225</v>
      </c>
      <c r="H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8" spans="1:8" x14ac:dyDescent="0.3">
      <c r="A8" s="2" t="s">
        <v>8</v>
      </c>
      <c r="B8" s="2" t="s">
        <v>9</v>
      </c>
      <c r="C8" s="2" t="s">
        <v>18</v>
      </c>
      <c r="D8" s="2" t="s">
        <v>11</v>
      </c>
      <c r="E8" s="2" t="s">
        <v>19</v>
      </c>
      <c r="F8" s="4" t="str">
        <f>DailyCompletionTable[[#This Row],[TABLE_NAME]]&amp;DailyCompletionTable[[#This Row],[PROCESS_DATE]]</f>
        <v>PC2021-01-29</v>
      </c>
      <c r="G8" s="25">
        <f>DATE(LEFT(DailyCompletionTable[[#This Row],[PROCESS_DATE]],4),MID(DailyCompletionTable[[#This Row],[PROCESS_DATE]],6,2),MID(DailyCompletionTable[[#This Row],[PROCESS_DATE]],9,2))</f>
        <v>44225</v>
      </c>
      <c r="H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44224.906956018516</v>
      </c>
    </row>
    <row r="9" spans="1:8" x14ac:dyDescent="0.3">
      <c r="A9" s="2" t="s">
        <v>8</v>
      </c>
      <c r="B9" s="2" t="s">
        <v>9</v>
      </c>
      <c r="C9" s="2" t="s">
        <v>20</v>
      </c>
      <c r="D9" s="2" t="s">
        <v>11</v>
      </c>
      <c r="E9" s="2" t="s">
        <v>21</v>
      </c>
      <c r="F9" s="4" t="str">
        <f>DailyCompletionTable[[#This Row],[TABLE_NAME]]&amp;DailyCompletionTable[[#This Row],[PROCESS_DATE]]</f>
        <v>PCA_CATG_ASSC2021-01-29</v>
      </c>
      <c r="G9" s="25">
        <f>DATE(LEFT(DailyCompletionTable[[#This Row],[PROCESS_DATE]],4),MID(DailyCompletionTable[[#This Row],[PROCESS_DATE]],6,2),MID(DailyCompletionTable[[#This Row],[PROCESS_DATE]],9,2))</f>
        <v>44225</v>
      </c>
      <c r="H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0" spans="1:8" x14ac:dyDescent="0.3">
      <c r="A10" s="2" t="s">
        <v>8</v>
      </c>
      <c r="B10" s="2" t="s">
        <v>9</v>
      </c>
      <c r="C10" s="2" t="s">
        <v>22</v>
      </c>
      <c r="D10" s="2" t="s">
        <v>11</v>
      </c>
      <c r="E10" s="2" t="s">
        <v>12</v>
      </c>
      <c r="F10" s="4" t="str">
        <f>DailyCompletionTable[[#This Row],[TABLE_NAME]]&amp;DailyCompletionTable[[#This Row],[PROCESS_DATE]]</f>
        <v>PCI_CALL_CRD_INV2021-01-29</v>
      </c>
      <c r="G10" s="25">
        <f>DATE(LEFT(DailyCompletionTable[[#This Row],[PROCESS_DATE]],4),MID(DailyCompletionTable[[#This Row],[PROCESS_DATE]],6,2),MID(DailyCompletionTable[[#This Row],[PROCESS_DATE]],9,2))</f>
        <v>44225</v>
      </c>
      <c r="H1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11" spans="1:8" x14ac:dyDescent="0.3">
      <c r="A11" s="2" t="s">
        <v>8</v>
      </c>
      <c r="B11" s="2" t="s">
        <v>9</v>
      </c>
      <c r="C11" s="2" t="s">
        <v>23</v>
      </c>
      <c r="D11" s="2" t="s">
        <v>11</v>
      </c>
      <c r="E11" s="2" t="s">
        <v>21</v>
      </c>
      <c r="F11" s="4" t="str">
        <f>DailyCompletionTable[[#This Row],[TABLE_NAME]]&amp;DailyCompletionTable[[#This Row],[PROCESS_DATE]]</f>
        <v>PCP_CATG_PARM2021-01-29</v>
      </c>
      <c r="G11" s="25">
        <f>DATE(LEFT(DailyCompletionTable[[#This Row],[PROCESS_DATE]],4),MID(DailyCompletionTable[[#This Row],[PROCESS_DATE]],6,2),MID(DailyCompletionTable[[#This Row],[PROCESS_DATE]],9,2))</f>
        <v>44225</v>
      </c>
      <c r="H1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2" spans="1:8" x14ac:dyDescent="0.3">
      <c r="A12" s="2" t="s">
        <v>8</v>
      </c>
      <c r="B12" s="2" t="s">
        <v>9</v>
      </c>
      <c r="C12" s="2" t="s">
        <v>24</v>
      </c>
      <c r="D12" s="2" t="s">
        <v>11</v>
      </c>
      <c r="E12" s="2" t="s">
        <v>12</v>
      </c>
      <c r="F12" s="4" t="str">
        <f>DailyCompletionTable[[#This Row],[TABLE_NAME]]&amp;DailyCompletionTable[[#This Row],[PROCESS_DATE]]</f>
        <v>PCS_CCS_SPA2021-01-29</v>
      </c>
      <c r="G12" s="25">
        <f>DATE(LEFT(DailyCompletionTable[[#This Row],[PROCESS_DATE]],4),MID(DailyCompletionTable[[#This Row],[PROCESS_DATE]],6,2),MID(DailyCompletionTable[[#This Row],[PROCESS_DATE]],9,2))</f>
        <v>44225</v>
      </c>
      <c r="H1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13" spans="1:8" x14ac:dyDescent="0.3">
      <c r="A13" s="2" t="s">
        <v>8</v>
      </c>
      <c r="B13" s="2" t="s">
        <v>9</v>
      </c>
      <c r="C13" s="2" t="s">
        <v>25</v>
      </c>
      <c r="D13" s="2" t="s">
        <v>11</v>
      </c>
      <c r="E13" s="2" t="s">
        <v>21</v>
      </c>
      <c r="F13" s="4" t="str">
        <f>DailyCompletionTable[[#This Row],[TABLE_NAME]]&amp;DailyCompletionTable[[#This Row],[PROCESS_DATE]]</f>
        <v>PCT_CATG_ITM2021-01-29</v>
      </c>
      <c r="G13" s="25">
        <f>DATE(LEFT(DailyCompletionTable[[#This Row],[PROCESS_DATE]],4),MID(DailyCompletionTable[[#This Row],[PROCESS_DATE]],6,2),MID(DailyCompletionTable[[#This Row],[PROCESS_DATE]],9,2))</f>
        <v>44225</v>
      </c>
      <c r="H1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4" spans="1:8" x14ac:dyDescent="0.3">
      <c r="A14" s="2" t="s">
        <v>8</v>
      </c>
      <c r="B14" s="2" t="s">
        <v>9</v>
      </c>
      <c r="C14" s="2" t="s">
        <v>26</v>
      </c>
      <c r="D14" s="2" t="s">
        <v>11</v>
      </c>
      <c r="E14" s="2" t="s">
        <v>21</v>
      </c>
      <c r="F14" s="4" t="str">
        <f>DailyCompletionTable[[#This Row],[TABLE_NAME]]&amp;DailyCompletionTable[[#This Row],[PROCESS_DATE]]</f>
        <v>PEN_EXCEPTION_TN_DETAIL2021-01-29</v>
      </c>
      <c r="G14" s="25">
        <f>DATE(LEFT(DailyCompletionTable[[#This Row],[PROCESS_DATE]],4),MID(DailyCompletionTable[[#This Row],[PROCESS_DATE]],6,2),MID(DailyCompletionTable[[#This Row],[PROCESS_DATE]],9,2))</f>
        <v>44225</v>
      </c>
      <c r="H1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5" spans="1:8" x14ac:dyDescent="0.3">
      <c r="A15" s="2" t="s">
        <v>8</v>
      </c>
      <c r="B15" s="2" t="s">
        <v>9</v>
      </c>
      <c r="C15" s="2" t="s">
        <v>27</v>
      </c>
      <c r="D15" s="2" t="s">
        <v>11</v>
      </c>
      <c r="E15" s="2" t="s">
        <v>21</v>
      </c>
      <c r="F15" s="4" t="str">
        <f>DailyCompletionTable[[#This Row],[TABLE_NAME]]&amp;DailyCompletionTable[[#This Row],[PROCESS_DATE]]</f>
        <v>PFA_FACILITY_ASSOC2021-01-29</v>
      </c>
      <c r="G15" s="25">
        <f>DATE(LEFT(DailyCompletionTable[[#This Row],[PROCESS_DATE]],4),MID(DailyCompletionTable[[#This Row],[PROCESS_DATE]],6,2),MID(DailyCompletionTable[[#This Row],[PROCESS_DATE]],9,2))</f>
        <v>44225</v>
      </c>
      <c r="H1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6" spans="1:8" x14ac:dyDescent="0.3">
      <c r="A16" s="2" t="s">
        <v>8</v>
      </c>
      <c r="B16" s="2" t="s">
        <v>9</v>
      </c>
      <c r="C16" s="2" t="s">
        <v>28</v>
      </c>
      <c r="D16" s="2" t="s">
        <v>11</v>
      </c>
      <c r="E16" s="2" t="s">
        <v>21</v>
      </c>
      <c r="F16" s="4" t="str">
        <f>DailyCompletionTable[[#This Row],[TABLE_NAME]]&amp;DailyCompletionTable[[#This Row],[PROCESS_DATE]]</f>
        <v>PFC_FACILITY2021-01-29</v>
      </c>
      <c r="G16" s="25">
        <f>DATE(LEFT(DailyCompletionTable[[#This Row],[PROCESS_DATE]],4),MID(DailyCompletionTable[[#This Row],[PROCESS_DATE]],6,2),MID(DailyCompletionTable[[#This Row],[PROCESS_DATE]],9,2))</f>
        <v>44225</v>
      </c>
      <c r="H1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7" spans="1:8" x14ac:dyDescent="0.3">
      <c r="A17" s="2" t="s">
        <v>8</v>
      </c>
      <c r="B17" s="2" t="s">
        <v>9</v>
      </c>
      <c r="C17" s="2" t="s">
        <v>29</v>
      </c>
      <c r="D17" s="2" t="s">
        <v>11</v>
      </c>
      <c r="E17" s="2" t="s">
        <v>21</v>
      </c>
      <c r="F17" s="4" t="str">
        <f>DailyCompletionTable[[#This Row],[TABLE_NAME]]&amp;DailyCompletionTable[[#This Row],[PROCESS_DATE]]</f>
        <v>PFD_FIELD_IDENTIFIER2021-01-29</v>
      </c>
      <c r="G17" s="25">
        <f>DATE(LEFT(DailyCompletionTable[[#This Row],[PROCESS_DATE]],4),MID(DailyCompletionTable[[#This Row],[PROCESS_DATE]],6,2),MID(DailyCompletionTable[[#This Row],[PROCESS_DATE]],9,2))</f>
        <v>44225</v>
      </c>
      <c r="H1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8" spans="1:8" x14ac:dyDescent="0.3">
      <c r="A18" s="2" t="s">
        <v>8</v>
      </c>
      <c r="B18" s="2" t="s">
        <v>9</v>
      </c>
      <c r="C18" s="2" t="s">
        <v>30</v>
      </c>
      <c r="D18" s="2" t="s">
        <v>11</v>
      </c>
      <c r="E18" s="2" t="s">
        <v>21</v>
      </c>
      <c r="F18" s="4" t="str">
        <f>DailyCompletionTable[[#This Row],[TABLE_NAME]]&amp;DailyCompletionTable[[#This Row],[PROCESS_DATE]]</f>
        <v>PFT_FACILITY_TYPE2021-01-29</v>
      </c>
      <c r="G18" s="25">
        <f>DATE(LEFT(DailyCompletionTable[[#This Row],[PROCESS_DATE]],4),MID(DailyCompletionTable[[#This Row],[PROCESS_DATE]],6,2),MID(DailyCompletionTable[[#This Row],[PROCESS_DATE]],9,2))</f>
        <v>44225</v>
      </c>
      <c r="H1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19" spans="1:8" x14ac:dyDescent="0.3">
      <c r="A19" s="2" t="s">
        <v>8</v>
      </c>
      <c r="B19" s="2" t="s">
        <v>9</v>
      </c>
      <c r="C19" s="2" t="s">
        <v>31</v>
      </c>
      <c r="D19" s="2" t="s">
        <v>11</v>
      </c>
      <c r="E19" s="2" t="s">
        <v>21</v>
      </c>
      <c r="F19" s="4" t="str">
        <f>DailyCompletionTable[[#This Row],[TABLE_NAME]]&amp;DailyCompletionTable[[#This Row],[PROCESS_DATE]]</f>
        <v>PFV_FACILITY_VALUE2021-01-29</v>
      </c>
      <c r="G19" s="25">
        <f>DATE(LEFT(DailyCompletionTable[[#This Row],[PROCESS_DATE]],4),MID(DailyCompletionTable[[#This Row],[PROCESS_DATE]],6,2),MID(DailyCompletionTable[[#This Row],[PROCESS_DATE]],9,2))</f>
        <v>44225</v>
      </c>
      <c r="H1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0" spans="1:8" x14ac:dyDescent="0.3">
      <c r="A20" s="2" t="s">
        <v>8</v>
      </c>
      <c r="B20" s="2" t="s">
        <v>9</v>
      </c>
      <c r="C20" s="2" t="s">
        <v>32</v>
      </c>
      <c r="D20" s="2" t="s">
        <v>11</v>
      </c>
      <c r="E20" s="2" t="s">
        <v>12</v>
      </c>
      <c r="F20" s="4" t="str">
        <f>DailyCompletionTable[[#This Row],[TABLE_NAME]]&amp;DailyCompletionTable[[#This Row],[PROCESS_DATE]]</f>
        <v>PIG_INV_GROUP2021-01-29</v>
      </c>
      <c r="G20" s="25">
        <f>DATE(LEFT(DailyCompletionTable[[#This Row],[PROCESS_DATE]],4),MID(DailyCompletionTable[[#This Row],[PROCESS_DATE]],6,2),MID(DailyCompletionTable[[#This Row],[PROCESS_DATE]],9,2))</f>
        <v>44225</v>
      </c>
      <c r="H2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21" spans="1:8" x14ac:dyDescent="0.3">
      <c r="A21" s="2" t="s">
        <v>8</v>
      </c>
      <c r="B21" s="2" t="s">
        <v>9</v>
      </c>
      <c r="C21" s="2" t="s">
        <v>33</v>
      </c>
      <c r="D21" s="2" t="s">
        <v>11</v>
      </c>
      <c r="E21" s="2" t="s">
        <v>21</v>
      </c>
      <c r="F21" s="4" t="str">
        <f>DailyCompletionTable[[#This Row],[TABLE_NAME]]&amp;DailyCompletionTable[[#This Row],[PROCESS_DATE]]</f>
        <v>PIN_INVENTORY_TYPE2021-01-29</v>
      </c>
      <c r="G21" s="25">
        <f>DATE(LEFT(DailyCompletionTable[[#This Row],[PROCESS_DATE]],4),MID(DailyCompletionTable[[#This Row],[PROCESS_DATE]],6,2),MID(DailyCompletionTable[[#This Row],[PROCESS_DATE]],9,2))</f>
        <v>44225</v>
      </c>
      <c r="H2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2" spans="1:8" x14ac:dyDescent="0.3">
      <c r="A22" s="2" t="s">
        <v>8</v>
      </c>
      <c r="B22" s="2" t="s">
        <v>9</v>
      </c>
      <c r="C22" s="2" t="s">
        <v>34</v>
      </c>
      <c r="D22" s="2" t="s">
        <v>11</v>
      </c>
      <c r="E22" s="2" t="s">
        <v>12</v>
      </c>
      <c r="F22" s="4" t="str">
        <f>DailyCompletionTable[[#This Row],[TABLE_NAME]]&amp;DailyCompletionTable[[#This Row],[PROCESS_DATE]]</f>
        <v>PJP_JOPS_QUEUE2021-01-29</v>
      </c>
      <c r="G22" s="25">
        <f>DATE(LEFT(DailyCompletionTable[[#This Row],[PROCESS_DATE]],4),MID(DailyCompletionTable[[#This Row],[PROCESS_DATE]],6,2),MID(DailyCompletionTable[[#This Row],[PROCESS_DATE]],9,2))</f>
        <v>44225</v>
      </c>
      <c r="H2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23" spans="1:8" x14ac:dyDescent="0.3">
      <c r="A23" s="2" t="s">
        <v>8</v>
      </c>
      <c r="B23" s="2" t="s">
        <v>9</v>
      </c>
      <c r="C23" s="2" t="s">
        <v>35</v>
      </c>
      <c r="D23" s="2" t="s">
        <v>11</v>
      </c>
      <c r="E23" s="2" t="s">
        <v>12</v>
      </c>
      <c r="F23" s="4" t="str">
        <f>DailyCompletionTable[[#This Row],[TABLE_NAME]]&amp;DailyCompletionTable[[#This Row],[PROCESS_DATE]]</f>
        <v>PMA_MSAG_ADDR2021-01-29</v>
      </c>
      <c r="G23" s="25">
        <f>DATE(LEFT(DailyCompletionTable[[#This Row],[PROCESS_DATE]],4),MID(DailyCompletionTable[[#This Row],[PROCESS_DATE]],6,2),MID(DailyCompletionTable[[#This Row],[PROCESS_DATE]],9,2))</f>
        <v>44225</v>
      </c>
      <c r="H2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24" spans="1:8" x14ac:dyDescent="0.3">
      <c r="A24" s="2" t="s">
        <v>8</v>
      </c>
      <c r="B24" s="2" t="s">
        <v>9</v>
      </c>
      <c r="C24" s="2" t="s">
        <v>36</v>
      </c>
      <c r="D24" s="2" t="s">
        <v>11</v>
      </c>
      <c r="E24" s="2" t="s">
        <v>37</v>
      </c>
      <c r="F24" s="4" t="str">
        <f>DailyCompletionTable[[#This Row],[TABLE_NAME]]&amp;DailyCompletionTable[[#This Row],[PROCESS_DATE]]</f>
        <v>POI_ORD_LINE_ITM2021-01-29</v>
      </c>
      <c r="G24" s="25">
        <f>DATE(LEFT(DailyCompletionTable[[#This Row],[PROCESS_DATE]],4),MID(DailyCompletionTable[[#This Row],[PROCESS_DATE]],6,2),MID(DailyCompletionTable[[#This Row],[PROCESS_DATE]],9,2))</f>
        <v>44225</v>
      </c>
      <c r="H2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44224.902418981481</v>
      </c>
    </row>
    <row r="25" spans="1:8" x14ac:dyDescent="0.3">
      <c r="A25" s="2" t="s">
        <v>8</v>
      </c>
      <c r="B25" s="2" t="s">
        <v>9</v>
      </c>
      <c r="C25" s="2" t="s">
        <v>38</v>
      </c>
      <c r="D25" s="2" t="s">
        <v>11</v>
      </c>
      <c r="E25" s="2" t="s">
        <v>12</v>
      </c>
      <c r="F25" s="4" t="str">
        <f>DailyCompletionTable[[#This Row],[TABLE_NAME]]&amp;DailyCompletionTable[[#This Row],[PROCESS_DATE]]</f>
        <v>POM_ORDER_MESSAGE2021-01-29</v>
      </c>
      <c r="G25" s="25">
        <f>DATE(LEFT(DailyCompletionTable[[#This Row],[PROCESS_DATE]],4),MID(DailyCompletionTable[[#This Row],[PROCESS_DATE]],6,2),MID(DailyCompletionTable[[#This Row],[PROCESS_DATE]],9,2))</f>
        <v>44225</v>
      </c>
      <c r="H2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26" spans="1:8" x14ac:dyDescent="0.3">
      <c r="A26" s="2" t="s">
        <v>8</v>
      </c>
      <c r="B26" s="2" t="s">
        <v>9</v>
      </c>
      <c r="C26" s="2" t="s">
        <v>39</v>
      </c>
      <c r="D26" s="2" t="s">
        <v>11</v>
      </c>
      <c r="E26" s="2" t="s">
        <v>40</v>
      </c>
      <c r="F26" s="4" t="str">
        <f>DailyCompletionTable[[#This Row],[TABLE_NAME]]&amp;DailyCompletionTable[[#This Row],[PROCESS_DATE]]</f>
        <v>POV_ORD_LINE_PARM_VAL2021-01-29</v>
      </c>
      <c r="G26" s="25">
        <f>DATE(LEFT(DailyCompletionTable[[#This Row],[PROCESS_DATE]],4),MID(DailyCompletionTable[[#This Row],[PROCESS_DATE]],6,2),MID(DailyCompletionTable[[#This Row],[PROCESS_DATE]],9,2))</f>
        <v>44225</v>
      </c>
      <c r="H2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44224.899189814816</v>
      </c>
    </row>
    <row r="27" spans="1:8" x14ac:dyDescent="0.3">
      <c r="A27" s="2" t="s">
        <v>8</v>
      </c>
      <c r="B27" s="2" t="s">
        <v>9</v>
      </c>
      <c r="C27" s="2" t="s">
        <v>41</v>
      </c>
      <c r="D27" s="2" t="s">
        <v>11</v>
      </c>
      <c r="E27" s="2" t="s">
        <v>21</v>
      </c>
      <c r="F27" s="4" t="str">
        <f>DailyCompletionTable[[#This Row],[TABLE_NAME]]&amp;DailyCompletionTable[[#This Row],[PROCESS_DATE]]</f>
        <v>PPL_PROVISIONING_LEDGER2021-01-29</v>
      </c>
      <c r="G27" s="25">
        <f>DATE(LEFT(DailyCompletionTable[[#This Row],[PROCESS_DATE]],4),MID(DailyCompletionTable[[#This Row],[PROCESS_DATE]],6,2),MID(DailyCompletionTable[[#This Row],[PROCESS_DATE]],9,2))</f>
        <v>44225</v>
      </c>
      <c r="H2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8" spans="1:8" x14ac:dyDescent="0.3">
      <c r="A28" s="2" t="s">
        <v>8</v>
      </c>
      <c r="B28" s="2" t="s">
        <v>9</v>
      </c>
      <c r="C28" s="2" t="s">
        <v>42</v>
      </c>
      <c r="D28" s="2" t="s">
        <v>11</v>
      </c>
      <c r="E28" s="2" t="s">
        <v>21</v>
      </c>
      <c r="F28" s="4" t="str">
        <f>DailyCompletionTable[[#This Row],[TABLE_NAME]]&amp;DailyCompletionTable[[#This Row],[PROCESS_DATE]]</f>
        <v>PPM_PARM_ITM2021-01-29</v>
      </c>
      <c r="G28" s="25">
        <f>DATE(LEFT(DailyCompletionTable[[#This Row],[PROCESS_DATE]],4),MID(DailyCompletionTable[[#This Row],[PROCESS_DATE]],6,2),MID(DailyCompletionTable[[#This Row],[PROCESS_DATE]],9,2))</f>
        <v>44225</v>
      </c>
      <c r="H2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9" spans="1:8" x14ac:dyDescent="0.3">
      <c r="A29" s="2" t="s">
        <v>8</v>
      </c>
      <c r="B29" s="2" t="s">
        <v>9</v>
      </c>
      <c r="C29" s="2" t="s">
        <v>43</v>
      </c>
      <c r="D29" s="2" t="s">
        <v>11</v>
      </c>
      <c r="E29" s="2" t="s">
        <v>12</v>
      </c>
      <c r="F29" s="4" t="str">
        <f>DailyCompletionTable[[#This Row],[TABLE_NAME]]&amp;DailyCompletionTable[[#This Row],[PROCESS_DATE]]</f>
        <v>PSH_TN_SYMB_CATG_HIST2021-01-29</v>
      </c>
      <c r="G29" s="25">
        <f>DATE(LEFT(DailyCompletionTable[[#This Row],[PROCESS_DATE]],4),MID(DailyCompletionTable[[#This Row],[PROCESS_DATE]],6,2),MID(DailyCompletionTable[[#This Row],[PROCESS_DATE]],9,2))</f>
        <v>44225</v>
      </c>
      <c r="H2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0" spans="1:8" x14ac:dyDescent="0.3">
      <c r="A30" s="2" t="s">
        <v>8</v>
      </c>
      <c r="B30" s="2" t="s">
        <v>9</v>
      </c>
      <c r="C30" s="2" t="s">
        <v>44</v>
      </c>
      <c r="D30" s="2" t="s">
        <v>11</v>
      </c>
      <c r="E30" s="2" t="s">
        <v>12</v>
      </c>
      <c r="F30" s="4" t="str">
        <f>DailyCompletionTable[[#This Row],[TABLE_NAME]]&amp;DailyCompletionTable[[#This Row],[PROCESS_DATE]]</f>
        <v>PSV_IN_SERV_PARM_VAL2021-01-29</v>
      </c>
      <c r="G30" s="25">
        <f>DATE(LEFT(DailyCompletionTable[[#This Row],[PROCESS_DATE]],4),MID(DailyCompletionTable[[#This Row],[PROCESS_DATE]],6,2),MID(DailyCompletionTable[[#This Row],[PROCESS_DATE]],9,2))</f>
        <v>44225</v>
      </c>
      <c r="H3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1" spans="1:8" x14ac:dyDescent="0.3">
      <c r="A31" s="2" t="s">
        <v>8</v>
      </c>
      <c r="B31" s="2" t="s">
        <v>9</v>
      </c>
      <c r="C31" s="2" t="s">
        <v>45</v>
      </c>
      <c r="D31" s="2" t="s">
        <v>11</v>
      </c>
      <c r="E31" s="2" t="s">
        <v>21</v>
      </c>
      <c r="F31" s="4" t="str">
        <f>DailyCompletionTable[[#This Row],[TABLE_NAME]]&amp;DailyCompletionTable[[#This Row],[PROCESS_DATE]]</f>
        <v>PTE_TELEPHONE_EXCHANGE2021-01-29</v>
      </c>
      <c r="G31" s="25">
        <f>DATE(LEFT(DailyCompletionTable[[#This Row],[PROCESS_DATE]],4),MID(DailyCompletionTable[[#This Row],[PROCESS_DATE]],6,2),MID(DailyCompletionTable[[#This Row],[PROCESS_DATE]],9,2))</f>
        <v>44225</v>
      </c>
      <c r="H3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32" spans="1:8" x14ac:dyDescent="0.3">
      <c r="A32" s="2" t="s">
        <v>8</v>
      </c>
      <c r="B32" s="2" t="s">
        <v>9</v>
      </c>
      <c r="C32" s="2" t="s">
        <v>46</v>
      </c>
      <c r="D32" s="2" t="s">
        <v>11</v>
      </c>
      <c r="E32" s="2" t="s">
        <v>21</v>
      </c>
      <c r="F32" s="4" t="str">
        <f>DailyCompletionTable[[#This Row],[TABLE_NAME]]&amp;DailyCompletionTable[[#This Row],[PROCESS_DATE]]</f>
        <v>PTG_TN_EXCHG_GRP2021-01-29</v>
      </c>
      <c r="G32" s="25">
        <f>DATE(LEFT(DailyCompletionTable[[#This Row],[PROCESS_DATE]],4),MID(DailyCompletionTable[[#This Row],[PROCESS_DATE]],6,2),MID(DailyCompletionTable[[#This Row],[PROCESS_DATE]],9,2))</f>
        <v>44225</v>
      </c>
      <c r="H3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33" spans="1:8" x14ac:dyDescent="0.3">
      <c r="A33" s="2" t="s">
        <v>8</v>
      </c>
      <c r="B33" s="2" t="s">
        <v>9</v>
      </c>
      <c r="C33" s="2" t="s">
        <v>47</v>
      </c>
      <c r="D33" s="2" t="s">
        <v>11</v>
      </c>
      <c r="E33" s="2" t="s">
        <v>12</v>
      </c>
      <c r="F33" s="4" t="str">
        <f>DailyCompletionTable[[#This Row],[TABLE_NAME]]&amp;DailyCompletionTable[[#This Row],[PROCESS_DATE]]</f>
        <v>PTH_TN_HIST2021-01-29</v>
      </c>
      <c r="G33" s="25">
        <f>DATE(LEFT(DailyCompletionTable[[#This Row],[PROCESS_DATE]],4),MID(DailyCompletionTable[[#This Row],[PROCESS_DATE]],6,2),MID(DailyCompletionTable[[#This Row],[PROCESS_DATE]],9,2))</f>
        <v>44225</v>
      </c>
      <c r="H3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4" spans="1:8" x14ac:dyDescent="0.3">
      <c r="A34" s="2" t="s">
        <v>8</v>
      </c>
      <c r="B34" s="2" t="s">
        <v>9</v>
      </c>
      <c r="C34" s="2" t="s">
        <v>48</v>
      </c>
      <c r="D34" s="2" t="s">
        <v>11</v>
      </c>
      <c r="E34" s="2" t="s">
        <v>12</v>
      </c>
      <c r="F34" s="4" t="str">
        <f>DailyCompletionTable[[#This Row],[TABLE_NAME]]&amp;DailyCompletionTable[[#This Row],[PROCESS_DATE]]</f>
        <v>PTM_TSK_MSGS2021-01-29</v>
      </c>
      <c r="G34" s="25">
        <f>DATE(LEFT(DailyCompletionTable[[#This Row],[PROCESS_DATE]],4),MID(DailyCompletionTable[[#This Row],[PROCESS_DATE]],6,2),MID(DailyCompletionTable[[#This Row],[PROCESS_DATE]],9,2))</f>
        <v>44225</v>
      </c>
      <c r="H3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5" spans="1:8" x14ac:dyDescent="0.3">
      <c r="A35" s="2" t="s">
        <v>8</v>
      </c>
      <c r="B35" s="2" t="s">
        <v>9</v>
      </c>
      <c r="C35" s="2" t="s">
        <v>49</v>
      </c>
      <c r="D35" s="2" t="s">
        <v>11</v>
      </c>
      <c r="E35" s="2" t="s">
        <v>12</v>
      </c>
      <c r="F35" s="4" t="str">
        <f>DailyCompletionTable[[#This Row],[TABLE_NAME]]&amp;DailyCompletionTable[[#This Row],[PROCESS_DATE]]</f>
        <v>PTN_TN_INVENTORY2021-01-29</v>
      </c>
      <c r="G35" s="25">
        <f>DATE(LEFT(DailyCompletionTable[[#This Row],[PROCESS_DATE]],4),MID(DailyCompletionTable[[#This Row],[PROCESS_DATE]],6,2),MID(DailyCompletionTable[[#This Row],[PROCESS_DATE]],9,2))</f>
        <v>44225</v>
      </c>
      <c r="H3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6" spans="1:8" x14ac:dyDescent="0.3">
      <c r="A36" s="2" t="s">
        <v>8</v>
      </c>
      <c r="B36" s="2" t="s">
        <v>9</v>
      </c>
      <c r="C36" s="2" t="s">
        <v>50</v>
      </c>
      <c r="D36" s="2" t="s">
        <v>11</v>
      </c>
      <c r="E36" s="2" t="s">
        <v>21</v>
      </c>
      <c r="F36" s="4" t="str">
        <f>DailyCompletionTable[[#This Row],[TABLE_NAME]]&amp;DailyCompletionTable[[#This Row],[PROCESS_DATE]]</f>
        <v>PTP_ACCT_TPV_HIST2021-01-29</v>
      </c>
      <c r="G36" s="25">
        <f>DATE(LEFT(DailyCompletionTable[[#This Row],[PROCESS_DATE]],4),MID(DailyCompletionTable[[#This Row],[PROCESS_DATE]],6,2),MID(DailyCompletionTable[[#This Row],[PROCESS_DATE]],9,2))</f>
        <v>44225</v>
      </c>
      <c r="H3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37" spans="1:8" x14ac:dyDescent="0.3">
      <c r="A37" s="2" t="s">
        <v>8</v>
      </c>
      <c r="B37" s="2" t="s">
        <v>9</v>
      </c>
      <c r="C37" s="2" t="s">
        <v>51</v>
      </c>
      <c r="D37" s="2" t="s">
        <v>11</v>
      </c>
      <c r="E37" s="2" t="s">
        <v>52</v>
      </c>
      <c r="F37" s="4" t="str">
        <f>DailyCompletionTable[[#This Row],[TABLE_NAME]]&amp;DailyCompletionTable[[#This Row],[PROCESS_DATE]]</f>
        <v>PUDF2021-01-29</v>
      </c>
      <c r="G37" s="25">
        <f>DATE(LEFT(DailyCompletionTable[[#This Row],[PROCESS_DATE]],4),MID(DailyCompletionTable[[#This Row],[PROCESS_DATE]],6,2),MID(DailyCompletionTable[[#This Row],[PROCESS_DATE]],9,2))</f>
        <v>44225</v>
      </c>
      <c r="H3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44224.910532407404</v>
      </c>
    </row>
    <row r="38" spans="1:8" x14ac:dyDescent="0.3">
      <c r="A38" s="2" t="s">
        <v>8</v>
      </c>
      <c r="B38" s="2" t="s">
        <v>9</v>
      </c>
      <c r="C38" s="2" t="s">
        <v>53</v>
      </c>
      <c r="D38" s="2" t="s">
        <v>11</v>
      </c>
      <c r="E38" s="2" t="s">
        <v>12</v>
      </c>
      <c r="F38" s="4" t="str">
        <f>DailyCompletionTable[[#This Row],[TABLE_NAME]]&amp;DailyCompletionTable[[#This Row],[PROCESS_DATE]]</f>
        <v>PUD_USER_DEFINITION2021-01-29</v>
      </c>
      <c r="G38" s="25">
        <f>DATE(LEFT(DailyCompletionTable[[#This Row],[PROCESS_DATE]],4),MID(DailyCompletionTable[[#This Row],[PROCESS_DATE]],6,2),MID(DailyCompletionTable[[#This Row],[PROCESS_DATE]],9,2))</f>
        <v>44225</v>
      </c>
      <c r="H3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9" spans="1:8" x14ac:dyDescent="0.3">
      <c r="A39" s="2" t="s">
        <v>8</v>
      </c>
      <c r="B39" s="2" t="s">
        <v>9</v>
      </c>
      <c r="C39" s="2" t="s">
        <v>54</v>
      </c>
      <c r="D39" s="2" t="s">
        <v>11</v>
      </c>
      <c r="E39" s="2" t="s">
        <v>12</v>
      </c>
      <c r="F39" s="4" t="str">
        <f>DailyCompletionTable[[#This Row],[TABLE_NAME]]&amp;DailyCompletionTable[[#This Row],[PROCESS_DATE]]</f>
        <v>PWH_ORD_WRK_PLN_HIST2021-01-29</v>
      </c>
      <c r="G39" s="25">
        <f>DATE(LEFT(DailyCompletionTable[[#This Row],[PROCESS_DATE]],4),MID(DailyCompletionTable[[#This Row],[PROCESS_DATE]],6,2),MID(DailyCompletionTable[[#This Row],[PROCESS_DATE]],9,2))</f>
        <v>44225</v>
      </c>
      <c r="H3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40" spans="1:8" x14ac:dyDescent="0.3">
      <c r="A40" s="2" t="s">
        <v>8</v>
      </c>
      <c r="B40" s="2" t="s">
        <v>9</v>
      </c>
      <c r="C40" s="2" t="s">
        <v>55</v>
      </c>
      <c r="D40" s="2" t="s">
        <v>11</v>
      </c>
      <c r="E40" s="2" t="s">
        <v>56</v>
      </c>
      <c r="F40" s="4" t="str">
        <f>DailyCompletionTable[[#This Row],[TABLE_NAME]]&amp;DailyCompletionTable[[#This Row],[PROCESS_DATE]]</f>
        <v>PWI_ORD_WRK_PLN_ITM2021-01-29</v>
      </c>
      <c r="G40" s="25">
        <f>DATE(LEFT(DailyCompletionTable[[#This Row],[PROCESS_DATE]],4),MID(DailyCompletionTable[[#This Row],[PROCESS_DATE]],6,2),MID(DailyCompletionTable[[#This Row],[PROCESS_DATE]],9,2))</f>
        <v>44225</v>
      </c>
      <c r="H4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44224.881747685184</v>
      </c>
    </row>
    <row r="41" spans="1:8" x14ac:dyDescent="0.3">
      <c r="A41" s="2" t="s">
        <v>8</v>
      </c>
      <c r="B41" s="2" t="s">
        <v>9</v>
      </c>
      <c r="C41" s="2" t="s">
        <v>57</v>
      </c>
      <c r="D41" s="2" t="s">
        <v>11</v>
      </c>
      <c r="E41" s="2" t="s">
        <v>12</v>
      </c>
      <c r="F41" s="4" t="str">
        <f>DailyCompletionTable[[#This Row],[TABLE_NAME]]&amp;DailyCompletionTable[[#This Row],[PROCESS_DATE]]</f>
        <v>PWP_ORD_WRK_PLN2021-01-29</v>
      </c>
      <c r="G41" s="25">
        <f>DATE(LEFT(DailyCompletionTable[[#This Row],[PROCESS_DATE]],4),MID(DailyCompletionTable[[#This Row],[PROCESS_DATE]],6,2),MID(DailyCompletionTable[[#This Row],[PROCESS_DATE]],9,2))</f>
        <v>44225</v>
      </c>
      <c r="H4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42" spans="1:8" x14ac:dyDescent="0.3">
      <c r="A42" s="2" t="s">
        <v>8</v>
      </c>
      <c r="B42" s="2" t="s">
        <v>9</v>
      </c>
      <c r="C42" s="2" t="s">
        <v>58</v>
      </c>
      <c r="D42" s="2" t="s">
        <v>11</v>
      </c>
      <c r="E42" s="2" t="s">
        <v>59</v>
      </c>
      <c r="F42" s="4" t="str">
        <f>DailyCompletionTable[[#This Row],[TABLE_NAME]]&amp;DailyCompletionTable[[#This Row],[PROCESS_DATE]]</f>
        <v>UDF2021-01-29</v>
      </c>
      <c r="G42" s="25">
        <f>DATE(LEFT(DailyCompletionTable[[#This Row],[PROCESS_DATE]],4),MID(DailyCompletionTable[[#This Row],[PROCESS_DATE]],6,2),MID(DailyCompletionTable[[#This Row],[PROCESS_DATE]],9,2))</f>
        <v>44225</v>
      </c>
      <c r="H4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44224.855740740742</v>
      </c>
    </row>
    <row r="43" spans="1:8" x14ac:dyDescent="0.3">
      <c r="A43" s="2" t="s">
        <v>8</v>
      </c>
      <c r="B43" s="2" t="s">
        <v>9</v>
      </c>
      <c r="C43" s="2" t="s">
        <v>60</v>
      </c>
      <c r="D43" s="2" t="s">
        <v>11</v>
      </c>
      <c r="E43" s="2" t="s">
        <v>21</v>
      </c>
      <c r="F43" s="4" t="str">
        <f>DailyCompletionTable[[#This Row],[TABLE_NAME]]&amp;DailyCompletionTable[[#This Row],[PROCESS_DATE]]</f>
        <v>USC_USOC_CODES2021-01-29</v>
      </c>
      <c r="G43" s="25">
        <f>DATE(LEFT(DailyCompletionTable[[#This Row],[PROCESS_DATE]],4),MID(DailyCompletionTable[[#This Row],[PROCESS_DATE]],6,2),MID(DailyCompletionTable[[#This Row],[PROCESS_DATE]],9,2))</f>
        <v>44225</v>
      </c>
      <c r="H4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4" spans="1:8" x14ac:dyDescent="0.3">
      <c r="A44" s="2" t="s">
        <v>8</v>
      </c>
      <c r="B44" s="2" t="s">
        <v>9</v>
      </c>
      <c r="C44" s="2" t="s">
        <v>61</v>
      </c>
      <c r="D44" s="2" t="s">
        <v>11</v>
      </c>
      <c r="E44" s="2" t="s">
        <v>62</v>
      </c>
      <c r="F44" s="4" t="str">
        <f>DailyCompletionTable[[#This Row],[TABLE_NAME]]&amp;DailyCompletionTable[[#This Row],[PROCESS_DATE]]</f>
        <v>VIPACBT2021-01-29</v>
      </c>
      <c r="G44" s="25">
        <f>DATE(LEFT(DailyCompletionTable[[#This Row],[PROCESS_DATE]],4),MID(DailyCompletionTable[[#This Row],[PROCESS_DATE]],6,2),MID(DailyCompletionTable[[#This Row],[PROCESS_DATE]],9,2))</f>
        <v>44225</v>
      </c>
      <c r="H4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44224.962500000001</v>
      </c>
    </row>
    <row r="45" spans="1:8" x14ac:dyDescent="0.3">
      <c r="A45" s="2" t="s">
        <v>8</v>
      </c>
      <c r="B45" s="2" t="s">
        <v>9</v>
      </c>
      <c r="C45" s="2" t="s">
        <v>63</v>
      </c>
      <c r="D45" s="2" t="s">
        <v>11</v>
      </c>
      <c r="E45" s="2" t="s">
        <v>64</v>
      </c>
      <c r="F45" s="4" t="str">
        <f>DailyCompletionTable[[#This Row],[TABLE_NAME]]&amp;DailyCompletionTable[[#This Row],[PROCESS_DATE]]</f>
        <v>VIPACDT2021-01-29</v>
      </c>
      <c r="G45" s="25">
        <f>DATE(LEFT(DailyCompletionTable[[#This Row],[PROCESS_DATE]],4),MID(DailyCompletionTable[[#This Row],[PROCESS_DATE]],6,2),MID(DailyCompletionTable[[#This Row],[PROCESS_DATE]],9,2))</f>
        <v>44225</v>
      </c>
      <c r="H4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44224.949386574073</v>
      </c>
    </row>
    <row r="46" spans="1:8" x14ac:dyDescent="0.3">
      <c r="A46" s="2" t="s">
        <v>8</v>
      </c>
      <c r="B46" s="2" t="s">
        <v>9</v>
      </c>
      <c r="C46" s="2" t="s">
        <v>65</v>
      </c>
      <c r="D46" s="2" t="s">
        <v>11</v>
      </c>
      <c r="E46" s="2" t="s">
        <v>66</v>
      </c>
      <c r="F46" s="4" t="str">
        <f>DailyCompletionTable[[#This Row],[TABLE_NAME]]&amp;DailyCompletionTable[[#This Row],[PROCESS_DATE]]</f>
        <v>VIPACRT2021-01-29</v>
      </c>
      <c r="G46" s="25">
        <f>DATE(LEFT(DailyCompletionTable[[#This Row],[PROCESS_DATE]],4),MID(DailyCompletionTable[[#This Row],[PROCESS_DATE]],6,2),MID(DailyCompletionTable[[#This Row],[PROCESS_DATE]],9,2))</f>
        <v>44225</v>
      </c>
      <c r="H4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44224.963194444441</v>
      </c>
    </row>
    <row r="47" spans="1:8" x14ac:dyDescent="0.3">
      <c r="A47" s="2" t="s">
        <v>8</v>
      </c>
      <c r="B47" s="2" t="s">
        <v>9</v>
      </c>
      <c r="C47" s="2" t="s">
        <v>67</v>
      </c>
      <c r="D47" s="2" t="s">
        <v>11</v>
      </c>
      <c r="E47" s="2" t="s">
        <v>68</v>
      </c>
      <c r="F47" s="4" t="str">
        <f>DailyCompletionTable[[#This Row],[TABLE_NAME]]&amp;DailyCompletionTable[[#This Row],[PROCESS_DATE]]</f>
        <v>VIPADGT2021-01-29</v>
      </c>
      <c r="G47" s="25">
        <f>DATE(LEFT(DailyCompletionTable[[#This Row],[PROCESS_DATE]],4),MID(DailyCompletionTable[[#This Row],[PROCESS_DATE]],6,2),MID(DailyCompletionTable[[#This Row],[PROCESS_DATE]],9,2))</f>
        <v>44225</v>
      </c>
      <c r="H4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48" spans="1:8" x14ac:dyDescent="0.3">
      <c r="A48" s="2" t="s">
        <v>8</v>
      </c>
      <c r="B48" s="2" t="s">
        <v>9</v>
      </c>
      <c r="C48" s="2" t="s">
        <v>69</v>
      </c>
      <c r="D48" s="2" t="s">
        <v>70</v>
      </c>
      <c r="E48" s="2" t="s">
        <v>71</v>
      </c>
      <c r="F48" s="4" t="str">
        <f>DailyCompletionTable[[#This Row],[TABLE_NAME]]&amp;DailyCompletionTable[[#This Row],[PROCESS_DATE]]</f>
        <v>VIPADJT2021-01-22</v>
      </c>
      <c r="G48" s="25">
        <f>DATE(LEFT(DailyCompletionTable[[#This Row],[PROCESS_DATE]],4),MID(DailyCompletionTable[[#This Row],[PROCESS_DATE]],6,2),MID(DailyCompletionTable[[#This Row],[PROCESS_DATE]],9,2))</f>
        <v>44218</v>
      </c>
      <c r="H4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44218.229328703703</v>
      </c>
    </row>
    <row r="49" spans="1:8" x14ac:dyDescent="0.3">
      <c r="A49" s="2" t="s">
        <v>8</v>
      </c>
      <c r="B49" s="2" t="s">
        <v>9</v>
      </c>
      <c r="C49" s="2" t="s">
        <v>72</v>
      </c>
      <c r="D49" s="2" t="s">
        <v>11</v>
      </c>
      <c r="E49" s="2" t="s">
        <v>73</v>
      </c>
      <c r="F49" s="4" t="str">
        <f>DailyCompletionTable[[#This Row],[TABLE_NAME]]&amp;DailyCompletionTable[[#This Row],[PROCESS_DATE]]</f>
        <v>VIPAHBT2021-01-29</v>
      </c>
      <c r="G49" s="25">
        <f>DATE(LEFT(DailyCompletionTable[[#This Row],[PROCESS_DATE]],4),MID(DailyCompletionTable[[#This Row],[PROCESS_DATE]],6,2),MID(DailyCompletionTable[[#This Row],[PROCESS_DATE]],9,2))</f>
        <v>44225</v>
      </c>
      <c r="H4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44224.85533564815</v>
      </c>
    </row>
    <row r="50" spans="1:8" x14ac:dyDescent="0.3">
      <c r="A50" s="2" t="s">
        <v>8</v>
      </c>
      <c r="B50" s="2" t="s">
        <v>9</v>
      </c>
      <c r="C50" s="2" t="s">
        <v>74</v>
      </c>
      <c r="D50" s="2" t="s">
        <v>11</v>
      </c>
      <c r="E50" s="2" t="s">
        <v>75</v>
      </c>
      <c r="F50" s="4" t="str">
        <f>DailyCompletionTable[[#This Row],[TABLE_NAME]]&amp;DailyCompletionTable[[#This Row],[PROCESS_DATE]]</f>
        <v>VIPAHCT2021-01-29</v>
      </c>
      <c r="G50" s="25">
        <f>DATE(LEFT(DailyCompletionTable[[#This Row],[PROCESS_DATE]],4),MID(DailyCompletionTable[[#This Row],[PROCESS_DATE]],6,2),MID(DailyCompletionTable[[#This Row],[PROCESS_DATE]],9,2))</f>
        <v>44225</v>
      </c>
      <c r="H5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44224.855254629627</v>
      </c>
    </row>
    <row r="51" spans="1:8" x14ac:dyDescent="0.3">
      <c r="A51" s="2" t="s">
        <v>8</v>
      </c>
      <c r="B51" s="2" t="s">
        <v>9</v>
      </c>
      <c r="C51" s="2" t="s">
        <v>76</v>
      </c>
      <c r="D51" s="2" t="s">
        <v>11</v>
      </c>
      <c r="E51" s="2" t="s">
        <v>77</v>
      </c>
      <c r="F51" s="4" t="str">
        <f>DailyCompletionTable[[#This Row],[TABLE_NAME]]&amp;DailyCompletionTable[[#This Row],[PROCESS_DATE]]</f>
        <v>VIPAHGT2021-01-29</v>
      </c>
      <c r="G51" s="25">
        <f>DATE(LEFT(DailyCompletionTable[[#This Row],[PROCESS_DATE]],4),MID(DailyCompletionTable[[#This Row],[PROCESS_DATE]],6,2),MID(DailyCompletionTable[[#This Row],[PROCESS_DATE]],9,2))</f>
        <v>44225</v>
      </c>
      <c r="H5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44224.855243055557</v>
      </c>
    </row>
    <row r="52" spans="1:8" x14ac:dyDescent="0.3">
      <c r="A52" s="2" t="s">
        <v>8</v>
      </c>
      <c r="B52" s="2" t="s">
        <v>9</v>
      </c>
      <c r="C52" s="2" t="s">
        <v>78</v>
      </c>
      <c r="D52" s="2" t="s">
        <v>11</v>
      </c>
      <c r="E52" s="2" t="s">
        <v>79</v>
      </c>
      <c r="F52" s="4" t="str">
        <f>DailyCompletionTable[[#This Row],[TABLE_NAME]]&amp;DailyCompletionTable[[#This Row],[PROCESS_DATE]]</f>
        <v>VIPAHMT2021-01-29</v>
      </c>
      <c r="G52" s="25">
        <f>DATE(LEFT(DailyCompletionTable[[#This Row],[PROCESS_DATE]],4),MID(DailyCompletionTable[[#This Row],[PROCESS_DATE]],6,2),MID(DailyCompletionTable[[#This Row],[PROCESS_DATE]],9,2))</f>
        <v>44225</v>
      </c>
      <c r="H5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44224.855370370373</v>
      </c>
    </row>
    <row r="53" spans="1:8" x14ac:dyDescent="0.3">
      <c r="A53" s="2" t="s">
        <v>8</v>
      </c>
      <c r="B53" s="2" t="s">
        <v>9</v>
      </c>
      <c r="C53" s="2" t="s">
        <v>80</v>
      </c>
      <c r="D53" s="2" t="s">
        <v>11</v>
      </c>
      <c r="E53" s="2" t="s">
        <v>81</v>
      </c>
      <c r="F53" s="4" t="str">
        <f>DailyCompletionTable[[#This Row],[TABLE_NAME]]&amp;DailyCompletionTable[[#This Row],[PROCESS_DATE]]</f>
        <v>VIPAHPT2021-01-29</v>
      </c>
      <c r="G53" s="25">
        <f>DATE(LEFT(DailyCompletionTable[[#This Row],[PROCESS_DATE]],4),MID(DailyCompletionTable[[#This Row],[PROCESS_DATE]],6,2),MID(DailyCompletionTable[[#This Row],[PROCESS_DATE]],9,2))</f>
        <v>44225</v>
      </c>
      <c r="H5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44224.855717592596</v>
      </c>
    </row>
    <row r="54" spans="1:8" x14ac:dyDescent="0.3">
      <c r="A54" s="2" t="s">
        <v>8</v>
      </c>
      <c r="B54" s="2" t="s">
        <v>9</v>
      </c>
      <c r="C54" s="2" t="s">
        <v>82</v>
      </c>
      <c r="D54" s="2" t="s">
        <v>11</v>
      </c>
      <c r="E54" s="2" t="s">
        <v>83</v>
      </c>
      <c r="F54" s="4" t="str">
        <f>DailyCompletionTable[[#This Row],[TABLE_NAME]]&amp;DailyCompletionTable[[#This Row],[PROCESS_DATE]]</f>
        <v>VIPAHTT2021-01-29</v>
      </c>
      <c r="G54" s="25">
        <f>DATE(LEFT(DailyCompletionTable[[#This Row],[PROCESS_DATE]],4),MID(DailyCompletionTable[[#This Row],[PROCESS_DATE]],6,2),MID(DailyCompletionTable[[#This Row],[PROCESS_DATE]],9,2))</f>
        <v>44225</v>
      </c>
      <c r="H5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44224.855347222219</v>
      </c>
    </row>
    <row r="55" spans="1:8" x14ac:dyDescent="0.3">
      <c r="A55" s="2" t="s">
        <v>8</v>
      </c>
      <c r="B55" s="2" t="s">
        <v>9</v>
      </c>
      <c r="C55" s="2" t="s">
        <v>84</v>
      </c>
      <c r="D55" s="2" t="s">
        <v>11</v>
      </c>
      <c r="E55" s="2" t="s">
        <v>85</v>
      </c>
      <c r="F55" s="4" t="str">
        <f>DailyCompletionTable[[#This Row],[TABLE_NAME]]&amp;DailyCompletionTable[[#This Row],[PROCESS_DATE]]</f>
        <v>VIPAIUT2021-01-29</v>
      </c>
      <c r="G55" s="25">
        <f>DATE(LEFT(DailyCompletionTable[[#This Row],[PROCESS_DATE]],4),MID(DailyCompletionTable[[#This Row],[PROCESS_DATE]],6,2),MID(DailyCompletionTable[[#This Row],[PROCESS_DATE]],9,2))</f>
        <v>44225</v>
      </c>
      <c r="H5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44224.855324074073</v>
      </c>
    </row>
    <row r="56" spans="1:8" x14ac:dyDescent="0.3">
      <c r="A56" s="2" t="s">
        <v>8</v>
      </c>
      <c r="B56" s="2" t="s">
        <v>9</v>
      </c>
      <c r="C56" s="2" t="s">
        <v>86</v>
      </c>
      <c r="D56" s="2" t="s">
        <v>11</v>
      </c>
      <c r="E56" s="2" t="s">
        <v>87</v>
      </c>
      <c r="F56" s="4" t="str">
        <f>DailyCompletionTable[[#This Row],[TABLE_NAME]]&amp;DailyCompletionTable[[#This Row],[PROCESS_DATE]]</f>
        <v>VIPALAT2021-01-29</v>
      </c>
      <c r="G56" s="25">
        <f>DATE(LEFT(DailyCompletionTable[[#This Row],[PROCESS_DATE]],4),MID(DailyCompletionTable[[#This Row],[PROCESS_DATE]],6,2),MID(DailyCompletionTable[[#This Row],[PROCESS_DATE]],9,2))</f>
        <v>44225</v>
      </c>
      <c r="H5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44224.858020833337</v>
      </c>
    </row>
    <row r="57" spans="1:8" x14ac:dyDescent="0.3">
      <c r="A57" s="2" t="s">
        <v>8</v>
      </c>
      <c r="B57" s="2" t="s">
        <v>9</v>
      </c>
      <c r="C57" s="2" t="s">
        <v>88</v>
      </c>
      <c r="D57" s="2" t="s">
        <v>11</v>
      </c>
      <c r="E57" s="2" t="s">
        <v>89</v>
      </c>
      <c r="F57" s="4" t="str">
        <f>DailyCompletionTable[[#This Row],[TABLE_NAME]]&amp;DailyCompletionTable[[#This Row],[PROCESS_DATE]]</f>
        <v>VIPARPT2021-01-29</v>
      </c>
      <c r="G57" s="25">
        <f>DATE(LEFT(DailyCompletionTable[[#This Row],[PROCESS_DATE]],4),MID(DailyCompletionTable[[#This Row],[PROCESS_DATE]],6,2),MID(DailyCompletionTable[[#This Row],[PROCESS_DATE]],9,2))</f>
        <v>44225</v>
      </c>
      <c r="H5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44224.959988425922</v>
      </c>
    </row>
    <row r="58" spans="1:8" x14ac:dyDescent="0.3">
      <c r="A58" s="2" t="s">
        <v>8</v>
      </c>
      <c r="B58" s="2" t="s">
        <v>9</v>
      </c>
      <c r="C58" s="2" t="s">
        <v>90</v>
      </c>
      <c r="D58" s="2" t="s">
        <v>11</v>
      </c>
      <c r="E58" s="2" t="s">
        <v>91</v>
      </c>
      <c r="F58" s="4" t="str">
        <f>DailyCompletionTable[[#This Row],[TABLE_NAME]]&amp;DailyCompletionTable[[#This Row],[PROCESS_DATE]]</f>
        <v>VIPC26T2021-01-29</v>
      </c>
      <c r="G58" s="25">
        <f>DATE(LEFT(DailyCompletionTable[[#This Row],[PROCESS_DATE]],4),MID(DailyCompletionTable[[#This Row],[PROCESS_DATE]],6,2),MID(DailyCompletionTable[[#This Row],[PROCESS_DATE]],9,2))</f>
        <v>44225</v>
      </c>
      <c r="H5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44224.855752314812</v>
      </c>
    </row>
    <row r="59" spans="1:8" x14ac:dyDescent="0.3">
      <c r="A59" s="2" t="s">
        <v>8</v>
      </c>
      <c r="B59" s="2" t="s">
        <v>9</v>
      </c>
      <c r="C59" s="2" t="s">
        <v>92</v>
      </c>
      <c r="D59" s="2" t="s">
        <v>11</v>
      </c>
      <c r="E59" s="2" t="s">
        <v>93</v>
      </c>
      <c r="F59" s="4" t="str">
        <f>DailyCompletionTable[[#This Row],[TABLE_NAME]]&amp;DailyCompletionTable[[#This Row],[PROCESS_DATE]]</f>
        <v>VIPC32T2021-01-29</v>
      </c>
      <c r="G59" s="25">
        <f>DATE(LEFT(DailyCompletionTable[[#This Row],[PROCESS_DATE]],4),MID(DailyCompletionTable[[#This Row],[PROCESS_DATE]],6,2),MID(DailyCompletionTable[[#This Row],[PROCESS_DATE]],9,2))</f>
        <v>44225</v>
      </c>
      <c r="H5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44224.855578703704</v>
      </c>
    </row>
    <row r="60" spans="1:8" x14ac:dyDescent="0.3">
      <c r="A60" s="2" t="s">
        <v>8</v>
      </c>
      <c r="B60" s="2" t="s">
        <v>9</v>
      </c>
      <c r="C60" s="2" t="s">
        <v>94</v>
      </c>
      <c r="D60" s="2" t="s">
        <v>11</v>
      </c>
      <c r="E60" s="2" t="s">
        <v>95</v>
      </c>
      <c r="F60" s="4" t="str">
        <f>DailyCompletionTable[[#This Row],[TABLE_NAME]]&amp;DailyCompletionTable[[#This Row],[PROCESS_DATE]]</f>
        <v>VIPCATT2021-01-29</v>
      </c>
      <c r="G60" s="25">
        <f>DATE(LEFT(DailyCompletionTable[[#This Row],[PROCESS_DATE]],4),MID(DailyCompletionTable[[#This Row],[PROCESS_DATE]],6,2),MID(DailyCompletionTable[[#This Row],[PROCESS_DATE]],9,2))</f>
        <v>44225</v>
      </c>
      <c r="H6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44224.855405092596</v>
      </c>
    </row>
    <row r="61" spans="1:8" x14ac:dyDescent="0.3">
      <c r="A61" s="2" t="s">
        <v>8</v>
      </c>
      <c r="B61" s="2" t="s">
        <v>9</v>
      </c>
      <c r="C61" s="2" t="s">
        <v>96</v>
      </c>
      <c r="D61" s="2" t="s">
        <v>11</v>
      </c>
      <c r="E61" s="2" t="s">
        <v>97</v>
      </c>
      <c r="F61" s="4" t="str">
        <f>DailyCompletionTable[[#This Row],[TABLE_NAME]]&amp;DailyCompletionTable[[#This Row],[PROCESS_DATE]]</f>
        <v>VIPCCAT2021-01-29</v>
      </c>
      <c r="G61" s="25">
        <f>DATE(LEFT(DailyCompletionTable[[#This Row],[PROCESS_DATE]],4),MID(DailyCompletionTable[[#This Row],[PROCESS_DATE]],6,2),MID(DailyCompletionTable[[#This Row],[PROCESS_DATE]],9,2))</f>
        <v>44225</v>
      </c>
      <c r="H6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44224.857893518521</v>
      </c>
    </row>
    <row r="62" spans="1:8" x14ac:dyDescent="0.3">
      <c r="A62" s="2" t="s">
        <v>8</v>
      </c>
      <c r="B62" s="2" t="s">
        <v>9</v>
      </c>
      <c r="C62" s="2" t="s">
        <v>98</v>
      </c>
      <c r="D62" s="2" t="s">
        <v>11</v>
      </c>
      <c r="E62" s="2" t="s">
        <v>99</v>
      </c>
      <c r="F62" s="4" t="str">
        <f>DailyCompletionTable[[#This Row],[TABLE_NAME]]&amp;DailyCompletionTable[[#This Row],[PROCESS_DATE]]</f>
        <v>VIPCCTT2021-01-29</v>
      </c>
      <c r="G62" s="25">
        <f>DATE(LEFT(DailyCompletionTable[[#This Row],[PROCESS_DATE]],4),MID(DailyCompletionTable[[#This Row],[PROCESS_DATE]],6,2),MID(DailyCompletionTable[[#This Row],[PROCESS_DATE]],9,2))</f>
        <v>44225</v>
      </c>
      <c r="H6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44224.855532407404</v>
      </c>
    </row>
    <row r="63" spans="1:8" x14ac:dyDescent="0.3">
      <c r="A63" s="2" t="s">
        <v>8</v>
      </c>
      <c r="B63" s="2" t="s">
        <v>9</v>
      </c>
      <c r="C63" s="2" t="s">
        <v>100</v>
      </c>
      <c r="D63" s="2" t="s">
        <v>11</v>
      </c>
      <c r="E63" s="2" t="s">
        <v>101</v>
      </c>
      <c r="F63" s="4" t="str">
        <f>DailyCompletionTable[[#This Row],[TABLE_NAME]]&amp;DailyCompletionTable[[#This Row],[PROCESS_DATE]]</f>
        <v>VIPCCXT2021-01-29</v>
      </c>
      <c r="G63" s="25">
        <f>DATE(LEFT(DailyCompletionTable[[#This Row],[PROCESS_DATE]],4),MID(DailyCompletionTable[[#This Row],[PROCESS_DATE]],6,2),MID(DailyCompletionTable[[#This Row],[PROCESS_DATE]],9,2))</f>
        <v>44225</v>
      </c>
      <c r="H6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44224.855509259258</v>
      </c>
    </row>
    <row r="64" spans="1:8" x14ac:dyDescent="0.3">
      <c r="A64" s="2" t="s">
        <v>8</v>
      </c>
      <c r="B64" s="2" t="s">
        <v>9</v>
      </c>
      <c r="C64" s="2" t="s">
        <v>102</v>
      </c>
      <c r="D64" s="2" t="s">
        <v>11</v>
      </c>
      <c r="E64" s="2" t="s">
        <v>103</v>
      </c>
      <c r="F64" s="4" t="str">
        <f>DailyCompletionTable[[#This Row],[TABLE_NAME]]&amp;DailyCompletionTable[[#This Row],[PROCESS_DATE]]</f>
        <v>VIPCCYT2021-01-29</v>
      </c>
      <c r="G64" s="25">
        <f>DATE(LEFT(DailyCompletionTable[[#This Row],[PROCESS_DATE]],4),MID(DailyCompletionTable[[#This Row],[PROCESS_DATE]],6,2),MID(DailyCompletionTable[[#This Row],[PROCESS_DATE]],9,2))</f>
        <v>44225</v>
      </c>
      <c r="H6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44224.85565972222</v>
      </c>
    </row>
    <row r="65" spans="1:8" x14ac:dyDescent="0.3">
      <c r="A65" s="2" t="s">
        <v>8</v>
      </c>
      <c r="B65" s="2" t="s">
        <v>9</v>
      </c>
      <c r="C65" s="2" t="s">
        <v>104</v>
      </c>
      <c r="D65" s="2" t="s">
        <v>11</v>
      </c>
      <c r="E65" s="2" t="s">
        <v>105</v>
      </c>
      <c r="F65" s="4" t="str">
        <f>DailyCompletionTable[[#This Row],[TABLE_NAME]]&amp;DailyCompletionTable[[#This Row],[PROCESS_DATE]]</f>
        <v>VIPCDAT2021-01-29</v>
      </c>
      <c r="G65" s="25">
        <f>DATE(LEFT(DailyCompletionTable[[#This Row],[PROCESS_DATE]],4),MID(DailyCompletionTable[[#This Row],[PROCESS_DATE]],6,2),MID(DailyCompletionTable[[#This Row],[PROCESS_DATE]],9,2))</f>
        <v>44225</v>
      </c>
      <c r="H6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44224.855775462966</v>
      </c>
    </row>
    <row r="66" spans="1:8" x14ac:dyDescent="0.3">
      <c r="A66" s="2" t="s">
        <v>8</v>
      </c>
      <c r="B66" s="2" t="s">
        <v>9</v>
      </c>
      <c r="C66" s="2" t="s">
        <v>106</v>
      </c>
      <c r="D66" s="2" t="s">
        <v>11</v>
      </c>
      <c r="E66" s="2" t="s">
        <v>91</v>
      </c>
      <c r="F66" s="4" t="str">
        <f>DailyCompletionTable[[#This Row],[TABLE_NAME]]&amp;DailyCompletionTable[[#This Row],[PROCESS_DATE]]</f>
        <v>VIPCDBT2021-01-29</v>
      </c>
      <c r="G66" s="25">
        <f>DATE(LEFT(DailyCompletionTable[[#This Row],[PROCESS_DATE]],4),MID(DailyCompletionTable[[#This Row],[PROCESS_DATE]],6,2),MID(DailyCompletionTable[[#This Row],[PROCESS_DATE]],9,2))</f>
        <v>44225</v>
      </c>
      <c r="H6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44224.855752314812</v>
      </c>
    </row>
    <row r="67" spans="1:8" x14ac:dyDescent="0.3">
      <c r="A67" s="2" t="s">
        <v>8</v>
      </c>
      <c r="B67" s="2" t="s">
        <v>9</v>
      </c>
      <c r="C67" s="2" t="s">
        <v>107</v>
      </c>
      <c r="D67" s="2" t="s">
        <v>11</v>
      </c>
      <c r="E67" s="2" t="s">
        <v>108</v>
      </c>
      <c r="F67" s="4" t="str">
        <f>DailyCompletionTable[[#This Row],[TABLE_NAME]]&amp;DailyCompletionTable[[#This Row],[PROCESS_DATE]]</f>
        <v>VIPCDCT2021-01-29</v>
      </c>
      <c r="G67" s="25">
        <f>DATE(LEFT(DailyCompletionTable[[#This Row],[PROCESS_DATE]],4),MID(DailyCompletionTable[[#This Row],[PROCESS_DATE]],6,2),MID(DailyCompletionTable[[#This Row],[PROCESS_DATE]],9,2))</f>
        <v>44225</v>
      </c>
      <c r="H6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44224.855624999997</v>
      </c>
    </row>
    <row r="68" spans="1:8" x14ac:dyDescent="0.3">
      <c r="A68" s="2" t="s">
        <v>8</v>
      </c>
      <c r="B68" s="2" t="s">
        <v>9</v>
      </c>
      <c r="C68" s="2" t="s">
        <v>109</v>
      </c>
      <c r="D68" s="2" t="s">
        <v>11</v>
      </c>
      <c r="E68" s="2" t="s">
        <v>99</v>
      </c>
      <c r="F68" s="4" t="str">
        <f>DailyCompletionTable[[#This Row],[TABLE_NAME]]&amp;DailyCompletionTable[[#This Row],[PROCESS_DATE]]</f>
        <v>VIPCDRT2021-01-29</v>
      </c>
      <c r="G68" s="25">
        <f>DATE(LEFT(DailyCompletionTable[[#This Row],[PROCESS_DATE]],4),MID(DailyCompletionTable[[#This Row],[PROCESS_DATE]],6,2),MID(DailyCompletionTable[[#This Row],[PROCESS_DATE]],9,2))</f>
        <v>44225</v>
      </c>
      <c r="H6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44224.855532407404</v>
      </c>
    </row>
    <row r="69" spans="1:8" x14ac:dyDescent="0.3">
      <c r="A69" s="2" t="s">
        <v>8</v>
      </c>
      <c r="B69" s="2" t="s">
        <v>9</v>
      </c>
      <c r="C69" s="2" t="s">
        <v>110</v>
      </c>
      <c r="D69" s="2" t="s">
        <v>11</v>
      </c>
      <c r="E69" s="2" t="s">
        <v>111</v>
      </c>
      <c r="F69" s="4" t="str">
        <f>DailyCompletionTable[[#This Row],[TABLE_NAME]]&amp;DailyCompletionTable[[#This Row],[PROCESS_DATE]]</f>
        <v>VIPCECT2021-01-29</v>
      </c>
      <c r="G69" s="25">
        <f>DATE(LEFT(DailyCompletionTable[[#This Row],[PROCESS_DATE]],4),MID(DailyCompletionTable[[#This Row],[PROCESS_DATE]],6,2),MID(DailyCompletionTable[[#This Row],[PROCESS_DATE]],9,2))</f>
        <v>44225</v>
      </c>
      <c r="H6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44224.935868055552</v>
      </c>
    </row>
    <row r="70" spans="1:8" x14ac:dyDescent="0.3">
      <c r="A70" s="2" t="s">
        <v>8</v>
      </c>
      <c r="B70" s="2" t="s">
        <v>9</v>
      </c>
      <c r="C70" s="2" t="s">
        <v>112</v>
      </c>
      <c r="D70" s="2" t="s">
        <v>11</v>
      </c>
      <c r="E70" s="2" t="s">
        <v>113</v>
      </c>
      <c r="F70" s="4" t="str">
        <f>DailyCompletionTable[[#This Row],[TABLE_NAME]]&amp;DailyCompletionTable[[#This Row],[PROCESS_DATE]]</f>
        <v>VIPCEPT2021-01-29</v>
      </c>
      <c r="G70" s="25">
        <f>DATE(LEFT(DailyCompletionTable[[#This Row],[PROCESS_DATE]],4),MID(DailyCompletionTable[[#This Row],[PROCESS_DATE]],6,2),MID(DailyCompletionTable[[#This Row],[PROCESS_DATE]],9,2))</f>
        <v>44225</v>
      </c>
      <c r="H7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44224.855821759258</v>
      </c>
    </row>
    <row r="71" spans="1:8" x14ac:dyDescent="0.3">
      <c r="A71" s="2" t="s">
        <v>8</v>
      </c>
      <c r="B71" s="2" t="s">
        <v>9</v>
      </c>
      <c r="C71" s="2" t="s">
        <v>114</v>
      </c>
      <c r="D71" s="2" t="s">
        <v>11</v>
      </c>
      <c r="E71" s="2" t="s">
        <v>115</v>
      </c>
      <c r="F71" s="4" t="str">
        <f>DailyCompletionTable[[#This Row],[TABLE_NAME]]&amp;DailyCompletionTable[[#This Row],[PROCESS_DATE]]</f>
        <v>VIPCEQT2021-01-29</v>
      </c>
      <c r="G71" s="25">
        <f>DATE(LEFT(DailyCompletionTable[[#This Row],[PROCESS_DATE]],4),MID(DailyCompletionTable[[#This Row],[PROCESS_DATE]],6,2),MID(DailyCompletionTable[[#This Row],[PROCESS_DATE]],9,2))</f>
        <v>44225</v>
      </c>
      <c r="H7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44224.855138888888</v>
      </c>
    </row>
    <row r="72" spans="1:8" x14ac:dyDescent="0.3">
      <c r="A72" s="2" t="s">
        <v>8</v>
      </c>
      <c r="B72" s="2" t="s">
        <v>9</v>
      </c>
      <c r="C72" s="2" t="s">
        <v>116</v>
      </c>
      <c r="D72" s="2" t="s">
        <v>11</v>
      </c>
      <c r="E72" s="2" t="s">
        <v>117</v>
      </c>
      <c r="F72" s="4" t="str">
        <f>DailyCompletionTable[[#This Row],[TABLE_NAME]]&amp;DailyCompletionTable[[#This Row],[PROCESS_DATE]]</f>
        <v>VIPCERT2021-01-29</v>
      </c>
      <c r="G72" s="25">
        <f>DATE(LEFT(DailyCompletionTable[[#This Row],[PROCESS_DATE]],4),MID(DailyCompletionTable[[#This Row],[PROCESS_DATE]],6,2),MID(DailyCompletionTable[[#This Row],[PROCESS_DATE]],9,2))</f>
        <v>44225</v>
      </c>
      <c r="H7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44224.935844907406</v>
      </c>
    </row>
    <row r="73" spans="1:8" x14ac:dyDescent="0.3">
      <c r="A73" s="2" t="s">
        <v>8</v>
      </c>
      <c r="B73" s="2" t="s">
        <v>9</v>
      </c>
      <c r="C73" s="2" t="s">
        <v>118</v>
      </c>
      <c r="D73" s="2" t="s">
        <v>11</v>
      </c>
      <c r="E73" s="2" t="s">
        <v>119</v>
      </c>
      <c r="F73" s="4" t="str">
        <f>DailyCompletionTable[[#This Row],[TABLE_NAME]]&amp;DailyCompletionTable[[#This Row],[PROCESS_DATE]]</f>
        <v>VIPCHXT2021-01-29</v>
      </c>
      <c r="G73" s="25">
        <f>DATE(LEFT(DailyCompletionTable[[#This Row],[PROCESS_DATE]],4),MID(DailyCompletionTable[[#This Row],[PROCESS_DATE]],6,2),MID(DailyCompletionTable[[#This Row],[PROCESS_DATE]],9,2))</f>
        <v>44225</v>
      </c>
      <c r="H7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44224.855706018519</v>
      </c>
    </row>
    <row r="74" spans="1:8" x14ac:dyDescent="0.3">
      <c r="A74" s="2" t="s">
        <v>8</v>
      </c>
      <c r="B74" s="2" t="s">
        <v>9</v>
      </c>
      <c r="C74" s="2" t="s">
        <v>120</v>
      </c>
      <c r="D74" s="2" t="s">
        <v>11</v>
      </c>
      <c r="E74" s="2" t="s">
        <v>121</v>
      </c>
      <c r="F74" s="4" t="str">
        <f>DailyCompletionTable[[#This Row],[TABLE_NAME]]&amp;DailyCompletionTable[[#This Row],[PROCESS_DATE]]</f>
        <v>VIPCIPT2021-01-29</v>
      </c>
      <c r="G74" s="25">
        <f>DATE(LEFT(DailyCompletionTable[[#This Row],[PROCESS_DATE]],4),MID(DailyCompletionTable[[#This Row],[PROCESS_DATE]],6,2),MID(DailyCompletionTable[[#This Row],[PROCESS_DATE]],9,2))</f>
        <v>44225</v>
      </c>
      <c r="H7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44224.855798611112</v>
      </c>
    </row>
    <row r="75" spans="1:8" x14ac:dyDescent="0.3">
      <c r="A75" s="2" t="s">
        <v>8</v>
      </c>
      <c r="B75" s="2" t="s">
        <v>9</v>
      </c>
      <c r="C75" s="2" t="s">
        <v>122</v>
      </c>
      <c r="D75" s="2" t="s">
        <v>11</v>
      </c>
      <c r="E75" s="2" t="s">
        <v>123</v>
      </c>
      <c r="F75" s="4" t="str">
        <f>DailyCompletionTable[[#This Row],[TABLE_NAME]]&amp;DailyCompletionTable[[#This Row],[PROCESS_DATE]]</f>
        <v>VIPCKWT2021-01-29</v>
      </c>
      <c r="G75" s="25">
        <f>DATE(LEFT(DailyCompletionTable[[#This Row],[PROCESS_DATE]],4),MID(DailyCompletionTable[[#This Row],[PROCESS_DATE]],6,2),MID(DailyCompletionTable[[#This Row],[PROCESS_DATE]],9,2))</f>
        <v>44225</v>
      </c>
      <c r="H7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44224.935833333337</v>
      </c>
    </row>
    <row r="76" spans="1:8" x14ac:dyDescent="0.3">
      <c r="A76" s="2" t="s">
        <v>8</v>
      </c>
      <c r="B76" s="2" t="s">
        <v>9</v>
      </c>
      <c r="C76" s="2" t="s">
        <v>124</v>
      </c>
      <c r="D76" s="2" t="s">
        <v>11</v>
      </c>
      <c r="E76" s="2" t="s">
        <v>125</v>
      </c>
      <c r="F76" s="4" t="str">
        <f>DailyCompletionTable[[#This Row],[TABLE_NAME]]&amp;DailyCompletionTable[[#This Row],[PROCESS_DATE]]</f>
        <v>VIPCLAT2021-01-29</v>
      </c>
      <c r="G76" s="25">
        <f>DATE(LEFT(DailyCompletionTable[[#This Row],[PROCESS_DATE]],4),MID(DailyCompletionTable[[#This Row],[PROCESS_DATE]],6,2),MID(DailyCompletionTable[[#This Row],[PROCESS_DATE]],9,2))</f>
        <v>44225</v>
      </c>
      <c r="H7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44224.956793981481</v>
      </c>
    </row>
    <row r="77" spans="1:8" x14ac:dyDescent="0.3">
      <c r="A77" s="2" t="s">
        <v>8</v>
      </c>
      <c r="B77" s="2" t="s">
        <v>9</v>
      </c>
      <c r="C77" s="2" t="s">
        <v>126</v>
      </c>
      <c r="D77" s="2" t="s">
        <v>11</v>
      </c>
      <c r="E77" s="2" t="s">
        <v>127</v>
      </c>
      <c r="F77" s="4" t="str">
        <f>DailyCompletionTable[[#This Row],[TABLE_NAME]]&amp;DailyCompletionTable[[#This Row],[PROCESS_DATE]]</f>
        <v>VIPCLGT2021-01-29</v>
      </c>
      <c r="G77" s="25">
        <f>DATE(LEFT(DailyCompletionTable[[#This Row],[PROCESS_DATE]],4),MID(DailyCompletionTable[[#This Row],[PROCESS_DATE]],6,2),MID(DailyCompletionTable[[#This Row],[PROCESS_DATE]],9,2))</f>
        <v>44225</v>
      </c>
      <c r="H7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44224.855104166665</v>
      </c>
    </row>
    <row r="78" spans="1:8" x14ac:dyDescent="0.3">
      <c r="A78" s="2" t="s">
        <v>8</v>
      </c>
      <c r="B78" s="2" t="s">
        <v>9</v>
      </c>
      <c r="C78" s="2" t="s">
        <v>128</v>
      </c>
      <c r="D78" s="2" t="s">
        <v>11</v>
      </c>
      <c r="E78" s="2" t="s">
        <v>129</v>
      </c>
      <c r="F78" s="4" t="str">
        <f>DailyCompletionTable[[#This Row],[TABLE_NAME]]&amp;DailyCompletionTable[[#This Row],[PROCESS_DATE]]</f>
        <v>VIPCLST2021-01-29</v>
      </c>
      <c r="G78" s="25">
        <f>DATE(LEFT(DailyCompletionTable[[#This Row],[PROCESS_DATE]],4),MID(DailyCompletionTable[[#This Row],[PROCESS_DATE]],6,2),MID(DailyCompletionTable[[#This Row],[PROCESS_DATE]],9,2))</f>
        <v>44225</v>
      </c>
      <c r="H7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44224.855567129627</v>
      </c>
    </row>
    <row r="79" spans="1:8" x14ac:dyDescent="0.3">
      <c r="A79" s="2" t="s">
        <v>8</v>
      </c>
      <c r="B79" s="2" t="s">
        <v>9</v>
      </c>
      <c r="C79" s="2" t="s">
        <v>130</v>
      </c>
      <c r="D79" s="2" t="s">
        <v>11</v>
      </c>
      <c r="E79" s="2" t="s">
        <v>103</v>
      </c>
      <c r="F79" s="4" t="str">
        <f>DailyCompletionTable[[#This Row],[TABLE_NAME]]&amp;DailyCompletionTable[[#This Row],[PROCESS_DATE]]</f>
        <v>VIPCLTT2021-01-29</v>
      </c>
      <c r="G79" s="25">
        <f>DATE(LEFT(DailyCompletionTable[[#This Row],[PROCESS_DATE]],4),MID(DailyCompletionTable[[#This Row],[PROCESS_DATE]],6,2),MID(DailyCompletionTable[[#This Row],[PROCESS_DATE]],9,2))</f>
        <v>44225</v>
      </c>
      <c r="H7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44224.85565972222</v>
      </c>
    </row>
    <row r="80" spans="1:8" x14ac:dyDescent="0.3">
      <c r="A80" s="2" t="s">
        <v>8</v>
      </c>
      <c r="B80" s="2" t="s">
        <v>9</v>
      </c>
      <c r="C80" s="2" t="s">
        <v>131</v>
      </c>
      <c r="D80" s="2" t="s">
        <v>11</v>
      </c>
      <c r="E80" s="2" t="s">
        <v>132</v>
      </c>
      <c r="F80" s="4" t="str">
        <f>DailyCompletionTable[[#This Row],[TABLE_NAME]]&amp;DailyCompletionTable[[#This Row],[PROCESS_DATE]]</f>
        <v>VIPCMPT2021-01-29</v>
      </c>
      <c r="G80" s="25">
        <f>DATE(LEFT(DailyCompletionTable[[#This Row],[PROCESS_DATE]],4),MID(DailyCompletionTable[[#This Row],[PROCESS_DATE]],6,2),MID(DailyCompletionTable[[#This Row],[PROCESS_DATE]],9,2))</f>
        <v>44225</v>
      </c>
      <c r="H8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44224.935856481483</v>
      </c>
    </row>
    <row r="81" spans="1:8" x14ac:dyDescent="0.3">
      <c r="A81" s="2" t="s">
        <v>8</v>
      </c>
      <c r="B81" s="2" t="s">
        <v>9</v>
      </c>
      <c r="C81" s="2" t="s">
        <v>133</v>
      </c>
      <c r="D81" s="2" t="s">
        <v>11</v>
      </c>
      <c r="E81" s="2" t="s">
        <v>129</v>
      </c>
      <c r="F81" s="4" t="str">
        <f>DailyCompletionTable[[#This Row],[TABLE_NAME]]&amp;DailyCompletionTable[[#This Row],[PROCESS_DATE]]</f>
        <v>VIPCMTT2021-01-29</v>
      </c>
      <c r="G81" s="25">
        <f>DATE(LEFT(DailyCompletionTable[[#This Row],[PROCESS_DATE]],4),MID(DailyCompletionTable[[#This Row],[PROCESS_DATE]],6,2),MID(DailyCompletionTable[[#This Row],[PROCESS_DATE]],9,2))</f>
        <v>44225</v>
      </c>
      <c r="H8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44224.855567129627</v>
      </c>
    </row>
    <row r="82" spans="1:8" x14ac:dyDescent="0.3">
      <c r="A82" s="2" t="s">
        <v>8</v>
      </c>
      <c r="B82" s="2" t="s">
        <v>9</v>
      </c>
      <c r="C82" s="2" t="s">
        <v>134</v>
      </c>
      <c r="D82" s="2" t="s">
        <v>11</v>
      </c>
      <c r="E82" s="2" t="s">
        <v>135</v>
      </c>
      <c r="F82" s="4" t="str">
        <f>DailyCompletionTable[[#This Row],[TABLE_NAME]]&amp;DailyCompletionTable[[#This Row],[PROCESS_DATE]]</f>
        <v>VIPCNFT2021-01-29</v>
      </c>
      <c r="G82" s="25">
        <f>DATE(LEFT(DailyCompletionTable[[#This Row],[PROCESS_DATE]],4),MID(DailyCompletionTable[[#This Row],[PROCESS_DATE]],6,2),MID(DailyCompletionTable[[#This Row],[PROCESS_DATE]],9,2))</f>
        <v>44225</v>
      </c>
      <c r="H8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44224.954328703701</v>
      </c>
    </row>
    <row r="83" spans="1:8" x14ac:dyDescent="0.3">
      <c r="A83" s="2" t="s">
        <v>8</v>
      </c>
      <c r="B83" s="2" t="s">
        <v>9</v>
      </c>
      <c r="C83" s="2" t="s">
        <v>136</v>
      </c>
      <c r="D83" s="2" t="s">
        <v>11</v>
      </c>
      <c r="E83" s="2" t="s">
        <v>135</v>
      </c>
      <c r="F83" s="4" t="str">
        <f>DailyCompletionTable[[#This Row],[TABLE_NAME]]&amp;DailyCompletionTable[[#This Row],[PROCESS_DATE]]</f>
        <v>VIPCNOT2021-01-29</v>
      </c>
      <c r="G83" s="25">
        <f>DATE(LEFT(DailyCompletionTable[[#This Row],[PROCESS_DATE]],4),MID(DailyCompletionTable[[#This Row],[PROCESS_DATE]],6,2),MID(DailyCompletionTable[[#This Row],[PROCESS_DATE]],9,2))</f>
        <v>44225</v>
      </c>
      <c r="H8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44224.954328703701</v>
      </c>
    </row>
    <row r="84" spans="1:8" x14ac:dyDescent="0.3">
      <c r="A84" s="2" t="s">
        <v>8</v>
      </c>
      <c r="B84" s="2" t="s">
        <v>9</v>
      </c>
      <c r="C84" s="2" t="s">
        <v>137</v>
      </c>
      <c r="D84" s="2" t="s">
        <v>11</v>
      </c>
      <c r="E84" s="2" t="s">
        <v>138</v>
      </c>
      <c r="F84" s="4" t="str">
        <f>DailyCompletionTable[[#This Row],[TABLE_NAME]]&amp;DailyCompletionTable[[#This Row],[PROCESS_DATE]]</f>
        <v>VIPCODT2021-01-29</v>
      </c>
      <c r="G84" s="25">
        <f>DATE(LEFT(DailyCompletionTable[[#This Row],[PROCESS_DATE]],4),MID(DailyCompletionTable[[#This Row],[PROCESS_DATE]],6,2),MID(DailyCompletionTable[[#This Row],[PROCESS_DATE]],9,2))</f>
        <v>44225</v>
      </c>
      <c r="H8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44225.011111111111</v>
      </c>
    </row>
    <row r="85" spans="1:8" x14ac:dyDescent="0.3">
      <c r="A85" s="2" t="s">
        <v>8</v>
      </c>
      <c r="B85" s="2" t="s">
        <v>9</v>
      </c>
      <c r="C85" s="2" t="s">
        <v>139</v>
      </c>
      <c r="D85" s="2" t="s">
        <v>11</v>
      </c>
      <c r="E85" s="2" t="s">
        <v>140</v>
      </c>
      <c r="F85" s="4" t="str">
        <f>DailyCompletionTable[[#This Row],[TABLE_NAME]]&amp;DailyCompletionTable[[#This Row],[PROCESS_DATE]]</f>
        <v>VIPCOFT2021-01-29</v>
      </c>
      <c r="G85" s="25">
        <f>DATE(LEFT(DailyCompletionTable[[#This Row],[PROCESS_DATE]],4),MID(DailyCompletionTable[[#This Row],[PROCESS_DATE]],6,2),MID(DailyCompletionTable[[#This Row],[PROCESS_DATE]],9,2))</f>
        <v>44225</v>
      </c>
      <c r="H8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44225.010416666664</v>
      </c>
    </row>
    <row r="86" spans="1:8" x14ac:dyDescent="0.3">
      <c r="A86" s="2" t="s">
        <v>8</v>
      </c>
      <c r="B86" s="2" t="s">
        <v>9</v>
      </c>
      <c r="C86" s="2" t="s">
        <v>141</v>
      </c>
      <c r="D86" s="2" t="s">
        <v>11</v>
      </c>
      <c r="E86" s="2" t="s">
        <v>142</v>
      </c>
      <c r="F86" s="4" t="str">
        <f>DailyCompletionTable[[#This Row],[TABLE_NAME]]&amp;DailyCompletionTable[[#This Row],[PROCESS_DATE]]</f>
        <v>VIPCOLT2021-01-29</v>
      </c>
      <c r="G86" s="25">
        <f>DATE(LEFT(DailyCompletionTable[[#This Row],[PROCESS_DATE]],4),MID(DailyCompletionTable[[#This Row],[PROCESS_DATE]],6,2),MID(DailyCompletionTable[[#This Row],[PROCESS_DATE]],9,2))</f>
        <v>44225</v>
      </c>
      <c r="H8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44224.956817129627</v>
      </c>
    </row>
    <row r="87" spans="1:8" x14ac:dyDescent="0.3">
      <c r="A87" s="2" t="s">
        <v>8</v>
      </c>
      <c r="B87" s="2" t="s">
        <v>9</v>
      </c>
      <c r="C87" s="2" t="s">
        <v>143</v>
      </c>
      <c r="D87" s="2" t="s">
        <v>11</v>
      </c>
      <c r="E87" s="2" t="s">
        <v>144</v>
      </c>
      <c r="F87" s="4" t="str">
        <f>DailyCompletionTable[[#This Row],[TABLE_NAME]]&amp;DailyCompletionTable[[#This Row],[PROCESS_DATE]]</f>
        <v>VIPCONT2021-01-29</v>
      </c>
      <c r="G87" s="25">
        <f>DATE(LEFT(DailyCompletionTable[[#This Row],[PROCESS_DATE]],4),MID(DailyCompletionTable[[#This Row],[PROCESS_DATE]],6,2),MID(DailyCompletionTable[[#This Row],[PROCESS_DATE]],9,2))</f>
        <v>44225</v>
      </c>
      <c r="H8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44224.855497685188</v>
      </c>
    </row>
    <row r="88" spans="1:8" x14ac:dyDescent="0.3">
      <c r="A88" s="2" t="s">
        <v>8</v>
      </c>
      <c r="B88" s="2" t="s">
        <v>9</v>
      </c>
      <c r="C88" s="2" t="s">
        <v>145</v>
      </c>
      <c r="D88" s="2" t="s">
        <v>11</v>
      </c>
      <c r="E88" s="2" t="s">
        <v>146</v>
      </c>
      <c r="F88" s="4" t="str">
        <f>DailyCompletionTable[[#This Row],[TABLE_NAME]]&amp;DailyCompletionTable[[#This Row],[PROCESS_DATE]]</f>
        <v>VIPCPLT2021-01-29</v>
      </c>
      <c r="G88" s="25">
        <f>DATE(LEFT(DailyCompletionTable[[#This Row],[PROCESS_DATE]],4),MID(DailyCompletionTable[[#This Row],[PROCESS_DATE]],6,2),MID(DailyCompletionTable[[#This Row],[PROCESS_DATE]],9,2))</f>
        <v>44225</v>
      </c>
      <c r="H8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44225.008333333331</v>
      </c>
    </row>
    <row r="89" spans="1:8" x14ac:dyDescent="0.3">
      <c r="A89" s="2" t="s">
        <v>8</v>
      </c>
      <c r="B89" s="2" t="s">
        <v>9</v>
      </c>
      <c r="C89" s="2" t="s">
        <v>147</v>
      </c>
      <c r="D89" s="2" t="s">
        <v>11</v>
      </c>
      <c r="E89" s="2" t="s">
        <v>148</v>
      </c>
      <c r="F89" s="4" t="str">
        <f>DailyCompletionTable[[#This Row],[TABLE_NAME]]&amp;DailyCompletionTable[[#This Row],[PROCESS_DATE]]</f>
        <v>VIPCRRT2021-01-29</v>
      </c>
      <c r="G89" s="25">
        <f>DATE(LEFT(DailyCompletionTable[[#This Row],[PROCESS_DATE]],4),MID(DailyCompletionTable[[#This Row],[PROCESS_DATE]],6,2),MID(DailyCompletionTable[[#This Row],[PROCESS_DATE]],9,2))</f>
        <v>44225</v>
      </c>
      <c r="H8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44225.090370370373</v>
      </c>
    </row>
    <row r="90" spans="1:8" x14ac:dyDescent="0.3">
      <c r="A90" s="2" t="s">
        <v>8</v>
      </c>
      <c r="B90" s="2" t="s">
        <v>9</v>
      </c>
      <c r="C90" s="2" t="s">
        <v>149</v>
      </c>
      <c r="D90" s="2" t="s">
        <v>11</v>
      </c>
      <c r="E90" s="2" t="s">
        <v>150</v>
      </c>
      <c r="F90" s="4" t="str">
        <f>DailyCompletionTable[[#This Row],[TABLE_NAME]]&amp;DailyCompletionTable[[#This Row],[PROCESS_DATE]]</f>
        <v>VIPCSAT2021-01-29</v>
      </c>
      <c r="G90" s="25">
        <f>DATE(LEFT(DailyCompletionTable[[#This Row],[PROCESS_DATE]],4),MID(DailyCompletionTable[[#This Row],[PROCESS_DATE]],6,2),MID(DailyCompletionTable[[#This Row],[PROCESS_DATE]],9,2))</f>
        <v>44225</v>
      </c>
      <c r="H9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44225.091423611113</v>
      </c>
    </row>
    <row r="91" spans="1:8" x14ac:dyDescent="0.3">
      <c r="A91" s="2" t="s">
        <v>8</v>
      </c>
      <c r="B91" s="2" t="s">
        <v>9</v>
      </c>
      <c r="C91" s="2" t="s">
        <v>151</v>
      </c>
      <c r="D91" s="2" t="s">
        <v>11</v>
      </c>
      <c r="E91" s="2" t="s">
        <v>152</v>
      </c>
      <c r="F91" s="4" t="str">
        <f>DailyCompletionTable[[#This Row],[TABLE_NAME]]&amp;DailyCompletionTable[[#This Row],[PROCESS_DATE]]</f>
        <v>VIPCSLT2021-01-29</v>
      </c>
      <c r="G91" s="25">
        <f>DATE(LEFT(DailyCompletionTable[[#This Row],[PROCESS_DATE]],4),MID(DailyCompletionTable[[#This Row],[PROCESS_DATE]],6,2),MID(DailyCompletionTable[[#This Row],[PROCESS_DATE]],9,2))</f>
        <v>44225</v>
      </c>
      <c r="H9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44224.855162037034</v>
      </c>
    </row>
    <row r="92" spans="1:8" x14ac:dyDescent="0.3">
      <c r="A92" s="2" t="s">
        <v>8</v>
      </c>
      <c r="B92" s="2" t="s">
        <v>9</v>
      </c>
      <c r="C92" s="2" t="s">
        <v>153</v>
      </c>
      <c r="D92" s="2" t="s">
        <v>11</v>
      </c>
      <c r="E92" s="2" t="s">
        <v>83</v>
      </c>
      <c r="F92" s="4" t="str">
        <f>DailyCompletionTable[[#This Row],[TABLE_NAME]]&amp;DailyCompletionTable[[#This Row],[PROCESS_DATE]]</f>
        <v>VIPCSPT2021-01-29</v>
      </c>
      <c r="G92" s="25">
        <f>DATE(LEFT(DailyCompletionTable[[#This Row],[PROCESS_DATE]],4),MID(DailyCompletionTable[[#This Row],[PROCESS_DATE]],6,2),MID(DailyCompletionTable[[#This Row],[PROCESS_DATE]],9,2))</f>
        <v>44225</v>
      </c>
      <c r="H9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44224.855347222219</v>
      </c>
    </row>
    <row r="93" spans="1:8" x14ac:dyDescent="0.3">
      <c r="A93" s="2" t="s">
        <v>8</v>
      </c>
      <c r="B93" s="2" t="s">
        <v>9</v>
      </c>
      <c r="C93" s="2" t="s">
        <v>154</v>
      </c>
      <c r="D93" s="2" t="s">
        <v>11</v>
      </c>
      <c r="E93" s="2" t="s">
        <v>155</v>
      </c>
      <c r="F93" s="4" t="str">
        <f>DailyCompletionTable[[#This Row],[TABLE_NAME]]&amp;DailyCompletionTable[[#This Row],[PROCESS_DATE]]</f>
        <v>VIPCSST2021-01-29</v>
      </c>
      <c r="G93" s="25">
        <f>DATE(LEFT(DailyCompletionTable[[#This Row],[PROCESS_DATE]],4),MID(DailyCompletionTable[[#This Row],[PROCESS_DATE]],6,2),MID(DailyCompletionTable[[#This Row],[PROCESS_DATE]],9,2))</f>
        <v>44225</v>
      </c>
      <c r="H9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44224.969652777778</v>
      </c>
    </row>
    <row r="94" spans="1:8" x14ac:dyDescent="0.3">
      <c r="A94" s="2" t="s">
        <v>8</v>
      </c>
      <c r="B94" s="2" t="s">
        <v>9</v>
      </c>
      <c r="C94" s="2" t="s">
        <v>156</v>
      </c>
      <c r="D94" s="2" t="s">
        <v>11</v>
      </c>
      <c r="E94" s="2" t="s">
        <v>157</v>
      </c>
      <c r="F94" s="4" t="str">
        <f>DailyCompletionTable[[#This Row],[TABLE_NAME]]&amp;DailyCompletionTable[[#This Row],[PROCESS_DATE]]</f>
        <v>VIPCTDT2021-01-29</v>
      </c>
      <c r="G94" s="25">
        <f>DATE(LEFT(DailyCompletionTable[[#This Row],[PROCESS_DATE]],4),MID(DailyCompletionTable[[#This Row],[PROCESS_DATE]],6,2),MID(DailyCompletionTable[[#This Row],[PROCESS_DATE]],9,2))</f>
        <v>44225</v>
      </c>
      <c r="H9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44224.855150462965</v>
      </c>
    </row>
    <row r="95" spans="1:8" x14ac:dyDescent="0.3">
      <c r="A95" s="2" t="s">
        <v>8</v>
      </c>
      <c r="B95" s="2" t="s">
        <v>9</v>
      </c>
      <c r="C95" s="2" t="s">
        <v>158</v>
      </c>
      <c r="D95" s="2" t="s">
        <v>11</v>
      </c>
      <c r="E95" s="2" t="s">
        <v>159</v>
      </c>
      <c r="F95" s="4" t="str">
        <f>DailyCompletionTable[[#This Row],[TABLE_NAME]]&amp;DailyCompletionTable[[#This Row],[PROCESS_DATE]]</f>
        <v>VIPCTMT2021-01-29</v>
      </c>
      <c r="G95" s="25">
        <f>DATE(LEFT(DailyCompletionTable[[#This Row],[PROCESS_DATE]],4),MID(DailyCompletionTable[[#This Row],[PROCESS_DATE]],6,2),MID(DailyCompletionTable[[#This Row],[PROCESS_DATE]],9,2))</f>
        <v>44225</v>
      </c>
      <c r="H9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44224.873287037037</v>
      </c>
    </row>
    <row r="96" spans="1:8" x14ac:dyDescent="0.3">
      <c r="A96" s="2" t="s">
        <v>8</v>
      </c>
      <c r="B96" s="2" t="s">
        <v>9</v>
      </c>
      <c r="C96" s="2" t="s">
        <v>160</v>
      </c>
      <c r="D96" s="2" t="s">
        <v>11</v>
      </c>
      <c r="E96" s="2" t="s">
        <v>161</v>
      </c>
      <c r="F96" s="4" t="str">
        <f>DailyCompletionTable[[#This Row],[TABLE_NAME]]&amp;DailyCompletionTable[[#This Row],[PROCESS_DATE]]</f>
        <v>VIPCTZT2021-01-29</v>
      </c>
      <c r="G96" s="25">
        <f>DATE(LEFT(DailyCompletionTable[[#This Row],[PROCESS_DATE]],4),MID(DailyCompletionTable[[#This Row],[PROCESS_DATE]],6,2),MID(DailyCompletionTable[[#This Row],[PROCESS_DATE]],9,2))</f>
        <v>44225</v>
      </c>
      <c r="H9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44224.855694444443</v>
      </c>
    </row>
    <row r="97" spans="1:8" x14ac:dyDescent="0.3">
      <c r="A97" s="2" t="s">
        <v>8</v>
      </c>
      <c r="B97" s="2" t="s">
        <v>9</v>
      </c>
      <c r="C97" s="2" t="s">
        <v>162</v>
      </c>
      <c r="D97" s="2" t="s">
        <v>11</v>
      </c>
      <c r="E97" s="2" t="s">
        <v>91</v>
      </c>
      <c r="F97" s="4" t="str">
        <f>DailyCompletionTable[[#This Row],[TABLE_NAME]]&amp;DailyCompletionTable[[#This Row],[PROCESS_DATE]]</f>
        <v>VIPCUCT2021-01-29</v>
      </c>
      <c r="G97" s="25">
        <f>DATE(LEFT(DailyCompletionTable[[#This Row],[PROCESS_DATE]],4),MID(DailyCompletionTable[[#This Row],[PROCESS_DATE]],6,2),MID(DailyCompletionTable[[#This Row],[PROCESS_DATE]],9,2))</f>
        <v>44225</v>
      </c>
      <c r="H9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44224.855752314812</v>
      </c>
    </row>
    <row r="98" spans="1:8" x14ac:dyDescent="0.3">
      <c r="A98" s="2" t="s">
        <v>8</v>
      </c>
      <c r="B98" s="2" t="s">
        <v>9</v>
      </c>
      <c r="C98" s="2" t="s">
        <v>163</v>
      </c>
      <c r="D98" s="2" t="s">
        <v>11</v>
      </c>
      <c r="E98" s="2" t="s">
        <v>91</v>
      </c>
      <c r="F98" s="4" t="str">
        <f>DailyCompletionTable[[#This Row],[TABLE_NAME]]&amp;DailyCompletionTable[[#This Row],[PROCESS_DATE]]</f>
        <v>VIPCUST2021-01-29</v>
      </c>
      <c r="G98" s="25">
        <f>DATE(LEFT(DailyCompletionTable[[#This Row],[PROCESS_DATE]],4),MID(DailyCompletionTable[[#This Row],[PROCESS_DATE]],6,2),MID(DailyCompletionTable[[#This Row],[PROCESS_DATE]],9,2))</f>
        <v>44225</v>
      </c>
      <c r="H9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44224.855752314812</v>
      </c>
    </row>
    <row r="99" spans="1:8" x14ac:dyDescent="0.3">
      <c r="A99" s="2" t="s">
        <v>8</v>
      </c>
      <c r="B99" s="2" t="s">
        <v>9</v>
      </c>
      <c r="C99" s="2" t="s">
        <v>164</v>
      </c>
      <c r="D99" s="2" t="s">
        <v>11</v>
      </c>
      <c r="E99" s="2" t="s">
        <v>165</v>
      </c>
      <c r="F99" s="4" t="str">
        <f>DailyCompletionTable[[#This Row],[TABLE_NAME]]&amp;DailyCompletionTable[[#This Row],[PROCESS_DATE]]</f>
        <v>VIPCWST2021-01-29</v>
      </c>
      <c r="G99" s="25">
        <f>DATE(LEFT(DailyCompletionTable[[#This Row],[PROCESS_DATE]],4),MID(DailyCompletionTable[[#This Row],[PROCESS_DATE]],6,2),MID(DailyCompletionTable[[#This Row],[PROCESS_DATE]],9,2))</f>
        <v>44225</v>
      </c>
      <c r="H9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44225.012499999997</v>
      </c>
    </row>
    <row r="100" spans="1:8" x14ac:dyDescent="0.3">
      <c r="A100" s="2" t="s">
        <v>8</v>
      </c>
      <c r="B100" s="2" t="s">
        <v>9</v>
      </c>
      <c r="C100" s="2" t="s">
        <v>166</v>
      </c>
      <c r="D100" s="2" t="s">
        <v>70</v>
      </c>
      <c r="E100" s="2" t="s">
        <v>167</v>
      </c>
      <c r="F100" s="4" t="str">
        <f>DailyCompletionTable[[#This Row],[TABLE_NAME]]&amp;DailyCompletionTable[[#This Row],[PROCESS_DATE]]</f>
        <v>VIPDART2021-01-22</v>
      </c>
      <c r="G100" s="25">
        <f>DATE(LEFT(DailyCompletionTable[[#This Row],[PROCESS_DATE]],4),MID(DailyCompletionTable[[#This Row],[PROCESS_DATE]],6,2),MID(DailyCompletionTable[[#This Row],[PROCESS_DATE]],9,2))</f>
        <v>44218</v>
      </c>
      <c r="H10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44218.229097222225</v>
      </c>
    </row>
    <row r="101" spans="1:8" x14ac:dyDescent="0.3">
      <c r="A101" s="2" t="s">
        <v>8</v>
      </c>
      <c r="B101" s="2" t="s">
        <v>9</v>
      </c>
      <c r="C101" s="2" t="s">
        <v>168</v>
      </c>
      <c r="D101" s="2" t="s">
        <v>70</v>
      </c>
      <c r="E101" s="2" t="s">
        <v>169</v>
      </c>
      <c r="F101" s="4" t="str">
        <f>DailyCompletionTable[[#This Row],[TABLE_NAME]]&amp;DailyCompletionTable[[#This Row],[PROCESS_DATE]]</f>
        <v>VIPDBDT2021-01-22</v>
      </c>
      <c r="G101" s="25">
        <f>DATE(LEFT(DailyCompletionTable[[#This Row],[PROCESS_DATE]],4),MID(DailyCompletionTable[[#This Row],[PROCESS_DATE]],6,2),MID(DailyCompletionTable[[#This Row],[PROCESS_DATE]],9,2))</f>
        <v>44218</v>
      </c>
      <c r="H10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44218.229050925926</v>
      </c>
    </row>
    <row r="102" spans="1:8" x14ac:dyDescent="0.3">
      <c r="A102" s="2" t="s">
        <v>8</v>
      </c>
      <c r="B102" s="2" t="s">
        <v>9</v>
      </c>
      <c r="C102" s="2" t="s">
        <v>170</v>
      </c>
      <c r="D102" s="2" t="s">
        <v>70</v>
      </c>
      <c r="E102" s="2" t="s">
        <v>171</v>
      </c>
      <c r="F102" s="4" t="str">
        <f>DailyCompletionTable[[#This Row],[TABLE_NAME]]&amp;DailyCompletionTable[[#This Row],[PROCESS_DATE]]</f>
        <v>VIPDCAT2021-01-22</v>
      </c>
      <c r="G102" s="25">
        <f>DATE(LEFT(DailyCompletionTable[[#This Row],[PROCESS_DATE]],4),MID(DailyCompletionTable[[#This Row],[PROCESS_DATE]],6,2),MID(DailyCompletionTable[[#This Row],[PROCESS_DATE]],9,2))</f>
        <v>44218</v>
      </c>
      <c r="H10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44218.229016203702</v>
      </c>
    </row>
    <row r="103" spans="1:8" x14ac:dyDescent="0.3">
      <c r="A103" s="2" t="s">
        <v>8</v>
      </c>
      <c r="B103" s="2" t="s">
        <v>9</v>
      </c>
      <c r="C103" s="2" t="s">
        <v>172</v>
      </c>
      <c r="D103" s="2" t="s">
        <v>70</v>
      </c>
      <c r="E103" s="2" t="s">
        <v>71</v>
      </c>
      <c r="F103" s="4" t="str">
        <f>DailyCompletionTable[[#This Row],[TABLE_NAME]]&amp;DailyCompletionTable[[#This Row],[PROCESS_DATE]]</f>
        <v>VIPDCET2021-01-22</v>
      </c>
      <c r="G103" s="25">
        <f>DATE(LEFT(DailyCompletionTable[[#This Row],[PROCESS_DATE]],4),MID(DailyCompletionTable[[#This Row],[PROCESS_DATE]],6,2),MID(DailyCompletionTable[[#This Row],[PROCESS_DATE]],9,2))</f>
        <v>44218</v>
      </c>
      <c r="H10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44218.229328703703</v>
      </c>
    </row>
    <row r="104" spans="1:8" x14ac:dyDescent="0.3">
      <c r="A104" s="2" t="s">
        <v>8</v>
      </c>
      <c r="B104" s="2" t="s">
        <v>9</v>
      </c>
      <c r="C104" s="2" t="s">
        <v>173</v>
      </c>
      <c r="D104" s="2" t="s">
        <v>11</v>
      </c>
      <c r="E104" s="2" t="s">
        <v>174</v>
      </c>
      <c r="F104" s="4" t="str">
        <f>DailyCompletionTable[[#This Row],[TABLE_NAME]]&amp;DailyCompletionTable[[#This Row],[PROCESS_DATE]]</f>
        <v>VIPDCUT2021-01-29</v>
      </c>
      <c r="G104" s="25">
        <f>DATE(LEFT(DailyCompletionTable[[#This Row],[PROCESS_DATE]],4),MID(DailyCompletionTable[[#This Row],[PROCESS_DATE]],6,2),MID(DailyCompletionTable[[#This Row],[PROCESS_DATE]],9,2))</f>
        <v>44225</v>
      </c>
      <c r="H10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44224.855879629627</v>
      </c>
    </row>
    <row r="105" spans="1:8" x14ac:dyDescent="0.3">
      <c r="A105" s="2" t="s">
        <v>8</v>
      </c>
      <c r="B105" s="2" t="s">
        <v>9</v>
      </c>
      <c r="C105" s="2" t="s">
        <v>175</v>
      </c>
      <c r="D105" s="2" t="s">
        <v>70</v>
      </c>
      <c r="E105" s="2" t="s">
        <v>176</v>
      </c>
      <c r="F105" s="4" t="str">
        <f>DailyCompletionTable[[#This Row],[TABLE_NAME]]&amp;DailyCompletionTable[[#This Row],[PROCESS_DATE]]</f>
        <v>VIPDEUT2021-01-22</v>
      </c>
      <c r="G105" s="25">
        <f>DATE(LEFT(DailyCompletionTable[[#This Row],[PROCESS_DATE]],4),MID(DailyCompletionTable[[#This Row],[PROCESS_DATE]],6,2),MID(DailyCompletionTable[[#This Row],[PROCESS_DATE]],9,2))</f>
        <v>44218</v>
      </c>
      <c r="H10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44218.229027777779</v>
      </c>
    </row>
    <row r="106" spans="1:8" x14ac:dyDescent="0.3">
      <c r="A106" s="2" t="s">
        <v>8</v>
      </c>
      <c r="B106" s="2" t="s">
        <v>9</v>
      </c>
      <c r="C106" s="2" t="s">
        <v>177</v>
      </c>
      <c r="D106" s="2" t="s">
        <v>70</v>
      </c>
      <c r="E106" s="2" t="s">
        <v>178</v>
      </c>
      <c r="F106" s="4" t="str">
        <f>DailyCompletionTable[[#This Row],[TABLE_NAME]]&amp;DailyCompletionTable[[#This Row],[PROCESS_DATE]]</f>
        <v>VIPDLMT2021-01-22</v>
      </c>
      <c r="G106" s="25">
        <f>DATE(LEFT(DailyCompletionTable[[#This Row],[PROCESS_DATE]],4),MID(DailyCompletionTable[[#This Row],[PROCESS_DATE]],6,2),MID(DailyCompletionTable[[#This Row],[PROCESS_DATE]],9,2))</f>
        <v>44218</v>
      </c>
      <c r="H10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44218.229120370372</v>
      </c>
    </row>
    <row r="107" spans="1:8" x14ac:dyDescent="0.3">
      <c r="A107" s="2" t="s">
        <v>8</v>
      </c>
      <c r="B107" s="2" t="s">
        <v>9</v>
      </c>
      <c r="C107" s="2" t="s">
        <v>179</v>
      </c>
      <c r="D107" s="2" t="s">
        <v>11</v>
      </c>
      <c r="E107" s="2" t="s">
        <v>180</v>
      </c>
      <c r="F107" s="4" t="str">
        <f>DailyCompletionTable[[#This Row],[TABLE_NAME]]&amp;DailyCompletionTable[[#This Row],[PROCESS_DATE]]</f>
        <v>VIPDLPT2021-01-29</v>
      </c>
      <c r="G107" s="25">
        <f>DATE(LEFT(DailyCompletionTable[[#This Row],[PROCESS_DATE]],4),MID(DailyCompletionTable[[#This Row],[PROCESS_DATE]],6,2),MID(DailyCompletionTable[[#This Row],[PROCESS_DATE]],9,2))</f>
        <v>44225</v>
      </c>
      <c r="H10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44225.071238425924</v>
      </c>
    </row>
    <row r="108" spans="1:8" x14ac:dyDescent="0.3">
      <c r="A108" s="2" t="s">
        <v>8</v>
      </c>
      <c r="B108" s="2" t="s">
        <v>9</v>
      </c>
      <c r="C108" s="2" t="s">
        <v>181</v>
      </c>
      <c r="D108" s="2" t="s">
        <v>11</v>
      </c>
      <c r="E108" s="2" t="s">
        <v>68</v>
      </c>
      <c r="F108" s="4" t="str">
        <f>DailyCompletionTable[[#This Row],[TABLE_NAME]]&amp;DailyCompletionTable[[#This Row],[PROCESS_DATE]]</f>
        <v>VIPDLQT2021-01-29</v>
      </c>
      <c r="G108" s="25">
        <f>DATE(LEFT(DailyCompletionTable[[#This Row],[PROCESS_DATE]],4),MID(DailyCompletionTable[[#This Row],[PROCESS_DATE]],6,2),MID(DailyCompletionTable[[#This Row],[PROCESS_DATE]],9,2))</f>
        <v>44225</v>
      </c>
      <c r="H10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109" spans="1:8" x14ac:dyDescent="0.3">
      <c r="A109" s="2" t="s">
        <v>8</v>
      </c>
      <c r="B109" s="2" t="s">
        <v>9</v>
      </c>
      <c r="C109" s="2" t="s">
        <v>182</v>
      </c>
      <c r="D109" s="2" t="s">
        <v>70</v>
      </c>
      <c r="E109" s="2" t="s">
        <v>183</v>
      </c>
      <c r="F109" s="4" t="str">
        <f>DailyCompletionTable[[#This Row],[TABLE_NAME]]&amp;DailyCompletionTable[[#This Row],[PROCESS_DATE]]</f>
        <v>VIPDLST2021-01-22</v>
      </c>
      <c r="G109" s="25">
        <f>DATE(LEFT(DailyCompletionTable[[#This Row],[PROCESS_DATE]],4),MID(DailyCompletionTable[[#This Row],[PROCESS_DATE]],6,2),MID(DailyCompletionTable[[#This Row],[PROCESS_DATE]],9,2))</f>
        <v>44218</v>
      </c>
      <c r="H10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44218.233043981483</v>
      </c>
    </row>
    <row r="110" spans="1:8" x14ac:dyDescent="0.3">
      <c r="A110" s="2" t="s">
        <v>8</v>
      </c>
      <c r="B110" s="2" t="s">
        <v>9</v>
      </c>
      <c r="C110" s="2" t="s">
        <v>184</v>
      </c>
      <c r="D110" s="2" t="s">
        <v>70</v>
      </c>
      <c r="E110" s="2" t="s">
        <v>185</v>
      </c>
      <c r="F110" s="4" t="str">
        <f>DailyCompletionTable[[#This Row],[TABLE_NAME]]&amp;DailyCompletionTable[[#This Row],[PROCESS_DATE]]</f>
        <v>VIPDLTT2021-01-22</v>
      </c>
      <c r="G110" s="25">
        <f>DATE(LEFT(DailyCompletionTable[[#This Row],[PROCESS_DATE]],4),MID(DailyCompletionTable[[#This Row],[PROCESS_DATE]],6,2),MID(DailyCompletionTable[[#This Row],[PROCESS_DATE]],9,2))</f>
        <v>44218</v>
      </c>
      <c r="H11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44218.228993055556</v>
      </c>
    </row>
    <row r="111" spans="1:8" x14ac:dyDescent="0.3">
      <c r="A111" s="2" t="s">
        <v>8</v>
      </c>
      <c r="B111" s="2" t="s">
        <v>9</v>
      </c>
      <c r="C111" s="2" t="s">
        <v>186</v>
      </c>
      <c r="D111" s="2" t="s">
        <v>70</v>
      </c>
      <c r="E111" s="2" t="s">
        <v>187</v>
      </c>
      <c r="F111" s="4" t="str">
        <f>DailyCompletionTable[[#This Row],[TABLE_NAME]]&amp;DailyCompletionTable[[#This Row],[PROCESS_DATE]]</f>
        <v>VIPDMAT2021-01-22</v>
      </c>
      <c r="G111" s="25">
        <f>DATE(LEFT(DailyCompletionTable[[#This Row],[PROCESS_DATE]],4),MID(DailyCompletionTable[[#This Row],[PROCESS_DATE]],6,2),MID(DailyCompletionTable[[#This Row],[PROCESS_DATE]],9,2))</f>
        <v>44218</v>
      </c>
      <c r="H11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44218.229062500002</v>
      </c>
    </row>
    <row r="112" spans="1:8" x14ac:dyDescent="0.3">
      <c r="A112" s="2" t="s">
        <v>8</v>
      </c>
      <c r="B112" s="2" t="s">
        <v>9</v>
      </c>
      <c r="C112" s="2" t="s">
        <v>188</v>
      </c>
      <c r="D112" s="2" t="s">
        <v>11</v>
      </c>
      <c r="E112" s="2" t="s">
        <v>189</v>
      </c>
      <c r="F112" s="4" t="str">
        <f>DailyCompletionTable[[#This Row],[TABLE_NAME]]&amp;DailyCompletionTable[[#This Row],[PROCESS_DATE]]</f>
        <v>VIPDPBT2021-01-29</v>
      </c>
      <c r="G112" s="25">
        <f>DATE(LEFT(DailyCompletionTable[[#This Row],[PROCESS_DATE]],4),MID(DailyCompletionTable[[#This Row],[PROCESS_DATE]],6,2),MID(DailyCompletionTable[[#This Row],[PROCESS_DATE]],9,2))</f>
        <v>44225</v>
      </c>
      <c r="H11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44224.855856481481</v>
      </c>
    </row>
    <row r="113" spans="1:8" x14ac:dyDescent="0.3">
      <c r="A113" s="2" t="s">
        <v>8</v>
      </c>
      <c r="B113" s="2" t="s">
        <v>9</v>
      </c>
      <c r="C113" s="2" t="s">
        <v>190</v>
      </c>
      <c r="D113" s="2" t="s">
        <v>11</v>
      </c>
      <c r="E113" s="2" t="s">
        <v>191</v>
      </c>
      <c r="F113" s="4" t="str">
        <f>DailyCompletionTable[[#This Row],[TABLE_NAME]]&amp;DailyCompletionTable[[#This Row],[PROCESS_DATE]]</f>
        <v>VIPDPST2021-01-29</v>
      </c>
      <c r="G113" s="25">
        <f>DATE(LEFT(DailyCompletionTable[[#This Row],[PROCESS_DATE]],4),MID(DailyCompletionTable[[#This Row],[PROCESS_DATE]],6,2),MID(DailyCompletionTable[[#This Row],[PROCESS_DATE]],9,2))</f>
        <v>44225</v>
      </c>
      <c r="H11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44224.855219907404</v>
      </c>
    </row>
    <row r="114" spans="1:8" x14ac:dyDescent="0.3">
      <c r="A114" s="2" t="s">
        <v>8</v>
      </c>
      <c r="B114" s="2" t="s">
        <v>9</v>
      </c>
      <c r="C114" s="2" t="s">
        <v>192</v>
      </c>
      <c r="D114" s="2" t="s">
        <v>11</v>
      </c>
      <c r="E114" s="2" t="s">
        <v>193</v>
      </c>
      <c r="F114" s="4" t="str">
        <f>DailyCompletionTable[[#This Row],[TABLE_NAME]]&amp;DailyCompletionTable[[#This Row],[PROCESS_DATE]]</f>
        <v>VIPDQAT2021-01-29</v>
      </c>
      <c r="G114" s="25">
        <f>DATE(LEFT(DailyCompletionTable[[#This Row],[PROCESS_DATE]],4),MID(DailyCompletionTable[[#This Row],[PROCESS_DATE]],6,2),MID(DailyCompletionTable[[#This Row],[PROCESS_DATE]],9,2))</f>
        <v>44225</v>
      </c>
      <c r="H11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44224.855833333335</v>
      </c>
    </row>
    <row r="115" spans="1:8" x14ac:dyDescent="0.3">
      <c r="A115" s="2" t="s">
        <v>8</v>
      </c>
      <c r="B115" s="2" t="s">
        <v>9</v>
      </c>
      <c r="C115" s="2" t="s">
        <v>194</v>
      </c>
      <c r="D115" s="2" t="s">
        <v>11</v>
      </c>
      <c r="E115" s="2" t="s">
        <v>68</v>
      </c>
      <c r="F115" s="4" t="str">
        <f>DailyCompletionTable[[#This Row],[TABLE_NAME]]&amp;DailyCompletionTable[[#This Row],[PROCESS_DATE]]</f>
        <v>VIPDQVT2021-01-29</v>
      </c>
      <c r="G115" s="25">
        <f>DATE(LEFT(DailyCompletionTable[[#This Row],[PROCESS_DATE]],4),MID(DailyCompletionTable[[#This Row],[PROCESS_DATE]],6,2),MID(DailyCompletionTable[[#This Row],[PROCESS_DATE]],9,2))</f>
        <v>44225</v>
      </c>
      <c r="H11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116" spans="1:8" x14ac:dyDescent="0.3">
      <c r="A116" s="2" t="s">
        <v>8</v>
      </c>
      <c r="B116" s="2" t="s">
        <v>9</v>
      </c>
      <c r="C116" s="2" t="s">
        <v>195</v>
      </c>
      <c r="D116" s="2" t="s">
        <v>11</v>
      </c>
      <c r="E116" s="2" t="s">
        <v>196</v>
      </c>
      <c r="F116" s="4" t="str">
        <f>DailyCompletionTable[[#This Row],[TABLE_NAME]]&amp;DailyCompletionTable[[#This Row],[PROCESS_DATE]]</f>
        <v>VIPDSCT2021-01-29</v>
      </c>
      <c r="G116" s="25">
        <f>DATE(LEFT(DailyCompletionTable[[#This Row],[PROCESS_DATE]],4),MID(DailyCompletionTable[[#This Row],[PROCESS_DATE]],6,2),MID(DailyCompletionTable[[#This Row],[PROCESS_DATE]],9,2))</f>
        <v>44225</v>
      </c>
      <c r="H11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44224.855729166666</v>
      </c>
    </row>
    <row r="117" spans="1:8" x14ac:dyDescent="0.3">
      <c r="A117" s="2" t="s">
        <v>8</v>
      </c>
      <c r="B117" s="2" t="s">
        <v>9</v>
      </c>
      <c r="C117" s="2" t="s">
        <v>197</v>
      </c>
      <c r="D117" s="2" t="s">
        <v>11</v>
      </c>
      <c r="E117" s="2" t="s">
        <v>198</v>
      </c>
      <c r="F117" s="4" t="str">
        <f>DailyCompletionTable[[#This Row],[TABLE_NAME]]&amp;DailyCompletionTable[[#This Row],[PROCESS_DATE]]</f>
        <v>VIPEAIT2021-01-29</v>
      </c>
      <c r="G117" s="25">
        <f>DATE(LEFT(DailyCompletionTable[[#This Row],[PROCESS_DATE]],4),MID(DailyCompletionTable[[#This Row],[PROCESS_DATE]],6,2),MID(DailyCompletionTable[[#This Row],[PROCESS_DATE]],9,2))</f>
        <v>44225</v>
      </c>
      <c r="H11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44225.090358796297</v>
      </c>
    </row>
    <row r="118" spans="1:8" x14ac:dyDescent="0.3">
      <c r="A118" s="2" t="s">
        <v>8</v>
      </c>
      <c r="B118" s="2" t="s">
        <v>9</v>
      </c>
      <c r="C118" s="2" t="s">
        <v>199</v>
      </c>
      <c r="D118" s="2" t="s">
        <v>11</v>
      </c>
      <c r="E118" s="2" t="s">
        <v>91</v>
      </c>
      <c r="F118" s="4" t="str">
        <f>DailyCompletionTable[[#This Row],[TABLE_NAME]]&amp;DailyCompletionTable[[#This Row],[PROCESS_DATE]]</f>
        <v>VIPECST2021-01-29</v>
      </c>
      <c r="G118" s="25">
        <f>DATE(LEFT(DailyCompletionTable[[#This Row],[PROCESS_DATE]],4),MID(DailyCompletionTable[[#This Row],[PROCESS_DATE]],6,2),MID(DailyCompletionTable[[#This Row],[PROCESS_DATE]],9,2))</f>
        <v>44225</v>
      </c>
      <c r="H11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44224.855752314812</v>
      </c>
    </row>
    <row r="119" spans="1:8" x14ac:dyDescent="0.3">
      <c r="A119" s="2" t="s">
        <v>8</v>
      </c>
      <c r="B119" s="2" t="s">
        <v>9</v>
      </c>
      <c r="C119" s="2" t="s">
        <v>200</v>
      </c>
      <c r="D119" s="2" t="s">
        <v>11</v>
      </c>
      <c r="E119" s="2" t="s">
        <v>201</v>
      </c>
      <c r="F119" s="4" t="str">
        <f>DailyCompletionTable[[#This Row],[TABLE_NAME]]&amp;DailyCompletionTable[[#This Row],[PROCESS_DATE]]</f>
        <v>VIPEPDT2021-01-29</v>
      </c>
      <c r="G119" s="25">
        <f>DATE(LEFT(DailyCompletionTable[[#This Row],[PROCESS_DATE]],4),MID(DailyCompletionTable[[#This Row],[PROCESS_DATE]],6,2),MID(DailyCompletionTable[[#This Row],[PROCESS_DATE]],9,2))</f>
        <v>44225</v>
      </c>
      <c r="H11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44224.855925925927</v>
      </c>
    </row>
    <row r="120" spans="1:8" x14ac:dyDescent="0.3">
      <c r="A120" s="2" t="s">
        <v>8</v>
      </c>
      <c r="B120" s="2" t="s">
        <v>9</v>
      </c>
      <c r="C120" s="2" t="s">
        <v>202</v>
      </c>
      <c r="D120" s="2" t="s">
        <v>11</v>
      </c>
      <c r="E120" s="2" t="s">
        <v>203</v>
      </c>
      <c r="F120" s="4" t="str">
        <f>DailyCompletionTable[[#This Row],[TABLE_NAME]]&amp;DailyCompletionTable[[#This Row],[PROCESS_DATE]]</f>
        <v>VIPEQCT2021-01-29</v>
      </c>
      <c r="G120" s="25">
        <f>DATE(LEFT(DailyCompletionTable[[#This Row],[PROCESS_DATE]],4),MID(DailyCompletionTable[[#This Row],[PROCESS_DATE]],6,2),MID(DailyCompletionTable[[#This Row],[PROCESS_DATE]],9,2))</f>
        <v>44225</v>
      </c>
      <c r="H12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44224.863043981481</v>
      </c>
    </row>
    <row r="121" spans="1:8" x14ac:dyDescent="0.3">
      <c r="A121" s="2" t="s">
        <v>8</v>
      </c>
      <c r="B121" s="2" t="s">
        <v>9</v>
      </c>
      <c r="C121" s="2" t="s">
        <v>204</v>
      </c>
      <c r="D121" s="2" t="s">
        <v>11</v>
      </c>
      <c r="E121" s="2" t="s">
        <v>203</v>
      </c>
      <c r="F121" s="4" t="str">
        <f>DailyCompletionTable[[#This Row],[TABLE_NAME]]&amp;DailyCompletionTable[[#This Row],[PROCESS_DATE]]</f>
        <v>VIPEQET2021-01-29</v>
      </c>
      <c r="G121" s="25">
        <f>DATE(LEFT(DailyCompletionTable[[#This Row],[PROCESS_DATE]],4),MID(DailyCompletionTable[[#This Row],[PROCESS_DATE]],6,2),MID(DailyCompletionTable[[#This Row],[PROCESS_DATE]],9,2))</f>
        <v>44225</v>
      </c>
      <c r="H12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44224.863043981481</v>
      </c>
    </row>
    <row r="122" spans="1:8" x14ac:dyDescent="0.3">
      <c r="A122" s="2" t="s">
        <v>8</v>
      </c>
      <c r="B122" s="2" t="s">
        <v>9</v>
      </c>
      <c r="C122" s="2" t="s">
        <v>205</v>
      </c>
      <c r="D122" s="2" t="s">
        <v>11</v>
      </c>
      <c r="E122" s="2" t="s">
        <v>203</v>
      </c>
      <c r="F122" s="4" t="str">
        <f>DailyCompletionTable[[#This Row],[TABLE_NAME]]&amp;DailyCompletionTable[[#This Row],[PROCESS_DATE]]</f>
        <v>VIPEQPT2021-01-29</v>
      </c>
      <c r="G122" s="25">
        <f>DATE(LEFT(DailyCompletionTable[[#This Row],[PROCESS_DATE]],4),MID(DailyCompletionTable[[#This Row],[PROCESS_DATE]],6,2),MID(DailyCompletionTable[[#This Row],[PROCESS_DATE]],9,2))</f>
        <v>44225</v>
      </c>
      <c r="H12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44224.863043981481</v>
      </c>
    </row>
    <row r="123" spans="1:8" x14ac:dyDescent="0.3">
      <c r="A123" s="2" t="s">
        <v>8</v>
      </c>
      <c r="B123" s="2" t="s">
        <v>9</v>
      </c>
      <c r="C123" s="2" t="s">
        <v>206</v>
      </c>
      <c r="D123" s="2" t="s">
        <v>11</v>
      </c>
      <c r="E123" s="2" t="s">
        <v>203</v>
      </c>
      <c r="F123" s="4" t="str">
        <f>DailyCompletionTable[[#This Row],[TABLE_NAME]]&amp;DailyCompletionTable[[#This Row],[PROCESS_DATE]]</f>
        <v>VIPEQST2021-01-29</v>
      </c>
      <c r="G123" s="25">
        <f>DATE(LEFT(DailyCompletionTable[[#This Row],[PROCESS_DATE]],4),MID(DailyCompletionTable[[#This Row],[PROCESS_DATE]],6,2),MID(DailyCompletionTable[[#This Row],[PROCESS_DATE]],9,2))</f>
        <v>44225</v>
      </c>
      <c r="H12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44224.863043981481</v>
      </c>
    </row>
    <row r="124" spans="1:8" x14ac:dyDescent="0.3">
      <c r="A124" s="2" t="s">
        <v>8</v>
      </c>
      <c r="B124" s="2" t="s">
        <v>9</v>
      </c>
      <c r="C124" s="2" t="s">
        <v>207</v>
      </c>
      <c r="D124" s="2" t="s">
        <v>11</v>
      </c>
      <c r="E124" s="2" t="s">
        <v>208</v>
      </c>
      <c r="F124" s="4" t="str">
        <f>DailyCompletionTable[[#This Row],[TABLE_NAME]]&amp;DailyCompletionTable[[#This Row],[PROCESS_DATE]]</f>
        <v>VIPESBT2021-01-29</v>
      </c>
      <c r="G124" s="25">
        <f>DATE(LEFT(DailyCompletionTable[[#This Row],[PROCESS_DATE]],4),MID(DailyCompletionTable[[#This Row],[PROCESS_DATE]],6,2),MID(DailyCompletionTable[[#This Row],[PROCESS_DATE]],9,2))</f>
        <v>44225</v>
      </c>
      <c r="H12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44224.931250000001</v>
      </c>
    </row>
    <row r="125" spans="1:8" x14ac:dyDescent="0.3">
      <c r="A125" s="2" t="s">
        <v>8</v>
      </c>
      <c r="B125" s="2" t="s">
        <v>9</v>
      </c>
      <c r="C125" s="2" t="s">
        <v>209</v>
      </c>
      <c r="D125" s="2" t="s">
        <v>11</v>
      </c>
      <c r="E125" s="2" t="s">
        <v>210</v>
      </c>
      <c r="F125" s="4" t="str">
        <f>DailyCompletionTable[[#This Row],[TABLE_NAME]]&amp;DailyCompletionTable[[#This Row],[PROCESS_DATE]]</f>
        <v>VIPETFT2021-01-29</v>
      </c>
      <c r="G125" s="25">
        <f>DATE(LEFT(DailyCompletionTable[[#This Row],[PROCESS_DATE]],4),MID(DailyCompletionTable[[#This Row],[PROCESS_DATE]],6,2),MID(DailyCompletionTable[[#This Row],[PROCESS_DATE]],9,2))</f>
        <v>44225</v>
      </c>
      <c r="H12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44224.855208333334</v>
      </c>
    </row>
    <row r="126" spans="1:8" x14ac:dyDescent="0.3">
      <c r="A126" s="2" t="s">
        <v>8</v>
      </c>
      <c r="B126" s="2" t="s">
        <v>9</v>
      </c>
      <c r="C126" s="2" t="s">
        <v>211</v>
      </c>
      <c r="D126" s="2" t="s">
        <v>11</v>
      </c>
      <c r="E126" s="2" t="s">
        <v>212</v>
      </c>
      <c r="F126" s="4" t="str">
        <f>DailyCompletionTable[[#This Row],[TABLE_NAME]]&amp;DailyCompletionTable[[#This Row],[PROCESS_DATE]]</f>
        <v>VIPETTT2021-01-29</v>
      </c>
      <c r="G126" s="25">
        <f>DATE(LEFT(DailyCompletionTable[[#This Row],[PROCESS_DATE]],4),MID(DailyCompletionTable[[#This Row],[PROCESS_DATE]],6,2),MID(DailyCompletionTable[[#This Row],[PROCESS_DATE]],9,2))</f>
        <v>44225</v>
      </c>
      <c r="H12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44224.855462962965</v>
      </c>
    </row>
    <row r="127" spans="1:8" x14ac:dyDescent="0.3">
      <c r="A127" s="2" t="s">
        <v>8</v>
      </c>
      <c r="B127" s="2" t="s">
        <v>9</v>
      </c>
      <c r="C127" s="2" t="s">
        <v>213</v>
      </c>
      <c r="D127" s="2" t="s">
        <v>70</v>
      </c>
      <c r="E127" s="2" t="s">
        <v>214</v>
      </c>
      <c r="F127" s="4" t="str">
        <f>DailyCompletionTable[[#This Row],[TABLE_NAME]]&amp;DailyCompletionTable[[#This Row],[PROCESS_DATE]]</f>
        <v>VIPEURT2021-01-22</v>
      </c>
      <c r="G127" s="25">
        <f>DATE(LEFT(DailyCompletionTable[[#This Row],[PROCESS_DATE]],4),MID(DailyCompletionTable[[#This Row],[PROCESS_DATE]],6,2),MID(DailyCompletionTable[[#This Row],[PROCESS_DATE]],9,2))</f>
        <v>44218</v>
      </c>
      <c r="H12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44218.136967592596</v>
      </c>
    </row>
    <row r="128" spans="1:8" x14ac:dyDescent="0.3">
      <c r="A128" s="2" t="s">
        <v>8</v>
      </c>
      <c r="B128" s="2" t="s">
        <v>9</v>
      </c>
      <c r="C128" s="2" t="s">
        <v>215</v>
      </c>
      <c r="D128" s="2" t="s">
        <v>70</v>
      </c>
      <c r="E128" s="2" t="s">
        <v>216</v>
      </c>
      <c r="F128" s="4" t="str">
        <f>DailyCompletionTable[[#This Row],[TABLE_NAME]]&amp;DailyCompletionTable[[#This Row],[PROCESS_DATE]]</f>
        <v>VIPEUTT2021-01-22</v>
      </c>
      <c r="G128" s="25">
        <f>DATE(LEFT(DailyCompletionTable[[#This Row],[PROCESS_DATE]],4),MID(DailyCompletionTable[[#This Row],[PROCESS_DATE]],6,2),MID(DailyCompletionTable[[#This Row],[PROCESS_DATE]],9,2))</f>
        <v>44218</v>
      </c>
      <c r="H12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44218.18545138889</v>
      </c>
    </row>
    <row r="129" spans="1:8" x14ac:dyDescent="0.3">
      <c r="A129" s="2" t="s">
        <v>8</v>
      </c>
      <c r="B129" s="2" t="s">
        <v>9</v>
      </c>
      <c r="C129" s="2" t="s">
        <v>217</v>
      </c>
      <c r="D129" s="2" t="s">
        <v>11</v>
      </c>
      <c r="E129" s="2" t="s">
        <v>218</v>
      </c>
      <c r="F129" s="4" t="str">
        <f>DailyCompletionTable[[#This Row],[TABLE_NAME]]&amp;DailyCompletionTable[[#This Row],[PROCESS_DATE]]</f>
        <v>VIPEVBT2021-01-29</v>
      </c>
      <c r="G129" s="25">
        <f>DATE(LEFT(DailyCompletionTable[[#This Row],[PROCESS_DATE]],4),MID(DailyCompletionTable[[#This Row],[PROCESS_DATE]],6,2),MID(DailyCompletionTable[[#This Row],[PROCESS_DATE]],9,2))</f>
        <v>44225</v>
      </c>
      <c r="H12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44224.862881944442</v>
      </c>
    </row>
    <row r="130" spans="1:8" x14ac:dyDescent="0.3">
      <c r="A130" s="2" t="s">
        <v>8</v>
      </c>
      <c r="B130" s="2" t="s">
        <v>9</v>
      </c>
      <c r="C130" s="2" t="s">
        <v>219</v>
      </c>
      <c r="D130" s="2" t="s">
        <v>11</v>
      </c>
      <c r="E130" s="2" t="s">
        <v>218</v>
      </c>
      <c r="F130" s="4" t="str">
        <f>DailyCompletionTable[[#This Row],[TABLE_NAME]]&amp;DailyCompletionTable[[#This Row],[PROCESS_DATE]]</f>
        <v>VIPEVDT2021-01-29</v>
      </c>
      <c r="G130" s="25">
        <f>DATE(LEFT(DailyCompletionTable[[#This Row],[PROCESS_DATE]],4),MID(DailyCompletionTable[[#This Row],[PROCESS_DATE]],6,2),MID(DailyCompletionTable[[#This Row],[PROCESS_DATE]],9,2))</f>
        <v>44225</v>
      </c>
      <c r="H13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44224.862881944442</v>
      </c>
    </row>
    <row r="131" spans="1:8" x14ac:dyDescent="0.3">
      <c r="A131" s="2" t="s">
        <v>8</v>
      </c>
      <c r="B131" s="2" t="s">
        <v>9</v>
      </c>
      <c r="C131" s="2" t="s">
        <v>220</v>
      </c>
      <c r="D131" s="2" t="s">
        <v>11</v>
      </c>
      <c r="E131" s="2" t="s">
        <v>218</v>
      </c>
      <c r="F131" s="4" t="str">
        <f>DailyCompletionTable[[#This Row],[TABLE_NAME]]&amp;DailyCompletionTable[[#This Row],[PROCESS_DATE]]</f>
        <v>VIPEVPT2021-01-29</v>
      </c>
      <c r="G131" s="25">
        <f>DATE(LEFT(DailyCompletionTable[[#This Row],[PROCESS_DATE]],4),MID(DailyCompletionTable[[#This Row],[PROCESS_DATE]],6,2),MID(DailyCompletionTable[[#This Row],[PROCESS_DATE]],9,2))</f>
        <v>44225</v>
      </c>
      <c r="H13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44224.862881944442</v>
      </c>
    </row>
    <row r="132" spans="1:8" x14ac:dyDescent="0.3">
      <c r="A132" s="2" t="s">
        <v>8</v>
      </c>
      <c r="B132" s="2" t="s">
        <v>9</v>
      </c>
      <c r="C132" s="2" t="s">
        <v>221</v>
      </c>
      <c r="D132" s="2" t="s">
        <v>11</v>
      </c>
      <c r="E132" s="2" t="s">
        <v>218</v>
      </c>
      <c r="F132" s="4" t="str">
        <f>DailyCompletionTable[[#This Row],[TABLE_NAME]]&amp;DailyCompletionTable[[#This Row],[PROCESS_DATE]]</f>
        <v>VIPEVST2021-01-29</v>
      </c>
      <c r="G132" s="25">
        <f>DATE(LEFT(DailyCompletionTable[[#This Row],[PROCESS_DATE]],4),MID(DailyCompletionTable[[#This Row],[PROCESS_DATE]],6,2),MID(DailyCompletionTable[[#This Row],[PROCESS_DATE]],9,2))</f>
        <v>44225</v>
      </c>
      <c r="H13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44224.862881944442</v>
      </c>
    </row>
    <row r="133" spans="1:8" x14ac:dyDescent="0.3">
      <c r="A133" s="2" t="s">
        <v>8</v>
      </c>
      <c r="B133" s="2" t="s">
        <v>9</v>
      </c>
      <c r="C133" s="2" t="s">
        <v>222</v>
      </c>
      <c r="D133" s="2" t="s">
        <v>11</v>
      </c>
      <c r="E133" s="2" t="s">
        <v>189</v>
      </c>
      <c r="F133" s="4" t="str">
        <f>DailyCompletionTable[[#This Row],[TABLE_NAME]]&amp;DailyCompletionTable[[#This Row],[PROCESS_DATE]]</f>
        <v>VIPFDPT2021-01-29</v>
      </c>
      <c r="G133" s="25">
        <f>DATE(LEFT(DailyCompletionTable[[#This Row],[PROCESS_DATE]],4),MID(DailyCompletionTable[[#This Row],[PROCESS_DATE]],6,2),MID(DailyCompletionTable[[#This Row],[PROCESS_DATE]],9,2))</f>
        <v>44225</v>
      </c>
      <c r="H13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44224.855856481481</v>
      </c>
    </row>
    <row r="134" spans="1:8" x14ac:dyDescent="0.3">
      <c r="A134" s="2" t="s">
        <v>8</v>
      </c>
      <c r="B134" s="2" t="s">
        <v>9</v>
      </c>
      <c r="C134" s="2" t="s">
        <v>223</v>
      </c>
      <c r="D134" s="2" t="s">
        <v>11</v>
      </c>
      <c r="E134" s="2" t="s">
        <v>224</v>
      </c>
      <c r="F134" s="4" t="str">
        <f>DailyCompletionTable[[#This Row],[TABLE_NAME]]&amp;DailyCompletionTable[[#This Row],[PROCESS_DATE]]</f>
        <v>VIPGPST2021-01-29</v>
      </c>
      <c r="G134" s="25">
        <f>DATE(LEFT(DailyCompletionTable[[#This Row],[PROCESS_DATE]],4),MID(DailyCompletionTable[[#This Row],[PROCESS_DATE]],6,2),MID(DailyCompletionTable[[#This Row],[PROCESS_DATE]],9,2))</f>
        <v>44225</v>
      </c>
      <c r="H13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44224.972037037034</v>
      </c>
    </row>
    <row r="135" spans="1:8" x14ac:dyDescent="0.3">
      <c r="A135" s="2" t="s">
        <v>8</v>
      </c>
      <c r="B135" s="2" t="s">
        <v>9</v>
      </c>
      <c r="C135" s="2" t="s">
        <v>225</v>
      </c>
      <c r="D135" s="2" t="s">
        <v>11</v>
      </c>
      <c r="E135" s="2" t="s">
        <v>226</v>
      </c>
      <c r="F135" s="4" t="str">
        <f>DailyCompletionTable[[#This Row],[TABLE_NAME]]&amp;DailyCompletionTable[[#This Row],[PROCESS_DATE]]</f>
        <v>VIPHSBT2021-01-29</v>
      </c>
      <c r="G135" s="25">
        <f>DATE(LEFT(DailyCompletionTable[[#This Row],[PROCESS_DATE]],4),MID(DailyCompletionTable[[#This Row],[PROCESS_DATE]],6,2),MID(DailyCompletionTable[[#This Row],[PROCESS_DATE]],9,2))</f>
        <v>44225</v>
      </c>
      <c r="H13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44224.855682870373</v>
      </c>
    </row>
    <row r="136" spans="1:8" x14ac:dyDescent="0.3">
      <c r="A136" s="2" t="s">
        <v>8</v>
      </c>
      <c r="B136" s="2" t="s">
        <v>9</v>
      </c>
      <c r="C136" s="2" t="s">
        <v>227</v>
      </c>
      <c r="D136" s="2" t="s">
        <v>11</v>
      </c>
      <c r="E136" s="2" t="s">
        <v>226</v>
      </c>
      <c r="F136" s="4" t="str">
        <f>DailyCompletionTable[[#This Row],[TABLE_NAME]]&amp;DailyCompletionTable[[#This Row],[PROCESS_DATE]]</f>
        <v>VIPHSLT2021-01-29</v>
      </c>
      <c r="G136" s="25">
        <f>DATE(LEFT(DailyCompletionTable[[#This Row],[PROCESS_DATE]],4),MID(DailyCompletionTable[[#This Row],[PROCESS_DATE]],6,2),MID(DailyCompletionTable[[#This Row],[PROCESS_DATE]],9,2))</f>
        <v>44225</v>
      </c>
      <c r="H13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44224.855682870373</v>
      </c>
    </row>
    <row r="137" spans="1:8" x14ac:dyDescent="0.3">
      <c r="A137" s="2" t="s">
        <v>8</v>
      </c>
      <c r="B137" s="2" t="s">
        <v>9</v>
      </c>
      <c r="C137" s="2" t="s">
        <v>228</v>
      </c>
      <c r="D137" s="2" t="s">
        <v>11</v>
      </c>
      <c r="E137" s="2" t="s">
        <v>226</v>
      </c>
      <c r="F137" s="4" t="str">
        <f>DailyCompletionTable[[#This Row],[TABLE_NAME]]&amp;DailyCompletionTable[[#This Row],[PROCESS_DATE]]</f>
        <v>VIPHSMT2021-01-29</v>
      </c>
      <c r="G137" s="25">
        <f>DATE(LEFT(DailyCompletionTable[[#This Row],[PROCESS_DATE]],4),MID(DailyCompletionTable[[#This Row],[PROCESS_DATE]],6,2),MID(DailyCompletionTable[[#This Row],[PROCESS_DATE]],9,2))</f>
        <v>44225</v>
      </c>
      <c r="H13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44224.855682870373</v>
      </c>
    </row>
    <row r="138" spans="1:8" x14ac:dyDescent="0.3">
      <c r="A138" s="2" t="s">
        <v>8</v>
      </c>
      <c r="B138" s="2" t="s">
        <v>9</v>
      </c>
      <c r="C138" s="2" t="s">
        <v>229</v>
      </c>
      <c r="D138" s="2" t="s">
        <v>11</v>
      </c>
      <c r="E138" s="2" t="s">
        <v>230</v>
      </c>
      <c r="F138" s="4" t="str">
        <f>DailyCompletionTable[[#This Row],[TABLE_NAME]]&amp;DailyCompletionTable[[#This Row],[PROCESS_DATE]]</f>
        <v>VIPITVT2021-01-29</v>
      </c>
      <c r="G138" s="25">
        <f>DATE(LEFT(DailyCompletionTable[[#This Row],[PROCESS_DATE]],4),MID(DailyCompletionTable[[#This Row],[PROCESS_DATE]],6,2),MID(DailyCompletionTable[[#This Row],[PROCESS_DATE]],9,2))</f>
        <v>44225</v>
      </c>
      <c r="H13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44224.975486111114</v>
      </c>
    </row>
    <row r="139" spans="1:8" x14ac:dyDescent="0.3">
      <c r="A139" s="2" t="s">
        <v>8</v>
      </c>
      <c r="B139" s="2" t="s">
        <v>9</v>
      </c>
      <c r="C139" s="2" t="s">
        <v>231</v>
      </c>
      <c r="D139" s="2" t="s">
        <v>11</v>
      </c>
      <c r="E139" s="2" t="s">
        <v>210</v>
      </c>
      <c r="F139" s="4" t="str">
        <f>DailyCompletionTable[[#This Row],[TABLE_NAME]]&amp;DailyCompletionTable[[#This Row],[PROCESS_DATE]]</f>
        <v>VIPLTRT2021-01-29</v>
      </c>
      <c r="G139" s="25">
        <f>DATE(LEFT(DailyCompletionTable[[#This Row],[PROCESS_DATE]],4),MID(DailyCompletionTable[[#This Row],[PROCESS_DATE]],6,2),MID(DailyCompletionTable[[#This Row],[PROCESS_DATE]],9,2))</f>
        <v>44225</v>
      </c>
      <c r="H13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44224.855208333334</v>
      </c>
    </row>
    <row r="140" spans="1:8" x14ac:dyDescent="0.3">
      <c r="A140" s="2" t="s">
        <v>8</v>
      </c>
      <c r="B140" s="2" t="s">
        <v>9</v>
      </c>
      <c r="C140" s="2" t="s">
        <v>232</v>
      </c>
      <c r="D140" s="2" t="s">
        <v>11</v>
      </c>
      <c r="E140" s="2" t="s">
        <v>138</v>
      </c>
      <c r="F140" s="4" t="str">
        <f>DailyCompletionTable[[#This Row],[TABLE_NAME]]&amp;DailyCompletionTable[[#This Row],[PROCESS_DATE]]</f>
        <v>VIPMN1T2021-01-29</v>
      </c>
      <c r="G140" s="25">
        <f>DATE(LEFT(DailyCompletionTable[[#This Row],[PROCESS_DATE]],4),MID(DailyCompletionTable[[#This Row],[PROCESS_DATE]],6,2),MID(DailyCompletionTable[[#This Row],[PROCESS_DATE]],9,2))</f>
        <v>44225</v>
      </c>
      <c r="H14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44225.011111111111</v>
      </c>
    </row>
    <row r="141" spans="1:8" x14ac:dyDescent="0.3">
      <c r="A141" s="2" t="s">
        <v>8</v>
      </c>
      <c r="B141" s="2" t="s">
        <v>9</v>
      </c>
      <c r="C141" s="2" t="s">
        <v>233</v>
      </c>
      <c r="D141" s="2" t="s">
        <v>11</v>
      </c>
      <c r="E141" s="2" t="s">
        <v>234</v>
      </c>
      <c r="F141" s="4" t="str">
        <f>DailyCompletionTable[[#This Row],[TABLE_NAME]]&amp;DailyCompletionTable[[#This Row],[PROCESS_DATE]]</f>
        <v>VIPMONT2021-01-29</v>
      </c>
      <c r="G141" s="25">
        <f>DATE(LEFT(DailyCompletionTable[[#This Row],[PROCESS_DATE]],4),MID(DailyCompletionTable[[#This Row],[PROCESS_DATE]],6,2),MID(DailyCompletionTable[[#This Row],[PROCESS_DATE]],9,2))</f>
        <v>44225</v>
      </c>
      <c r="H14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44225.007638888892</v>
      </c>
    </row>
    <row r="142" spans="1:8" x14ac:dyDescent="0.3">
      <c r="A142" s="2" t="s">
        <v>8</v>
      </c>
      <c r="B142" s="2" t="s">
        <v>9</v>
      </c>
      <c r="C142" s="2" t="s">
        <v>235</v>
      </c>
      <c r="D142" s="2" t="s">
        <v>11</v>
      </c>
      <c r="E142" s="2" t="s">
        <v>236</v>
      </c>
      <c r="F142" s="4" t="str">
        <f>DailyCompletionTable[[#This Row],[TABLE_NAME]]&amp;DailyCompletionTable[[#This Row],[PROCESS_DATE]]</f>
        <v>VIPNEQT2021-01-29</v>
      </c>
      <c r="G142" s="25">
        <f>DATE(LEFT(DailyCompletionTable[[#This Row],[PROCESS_DATE]],4),MID(DailyCompletionTable[[#This Row],[PROCESS_DATE]],6,2),MID(DailyCompletionTable[[#This Row],[PROCESS_DATE]],9,2))</f>
        <v>44225</v>
      </c>
      <c r="H14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44224.855439814812</v>
      </c>
    </row>
    <row r="143" spans="1:8" x14ac:dyDescent="0.3">
      <c r="A143" s="2" t="s">
        <v>8</v>
      </c>
      <c r="B143" s="2" t="s">
        <v>9</v>
      </c>
      <c r="C143" s="2" t="s">
        <v>237</v>
      </c>
      <c r="D143" s="2" t="s">
        <v>11</v>
      </c>
      <c r="E143" s="2" t="s">
        <v>201</v>
      </c>
      <c r="F143" s="4" t="str">
        <f>DailyCompletionTable[[#This Row],[TABLE_NAME]]&amp;DailyCompletionTable[[#This Row],[PROCESS_DATE]]</f>
        <v>VIPNQLT2021-01-29</v>
      </c>
      <c r="G143" s="25">
        <f>DATE(LEFT(DailyCompletionTable[[#This Row],[PROCESS_DATE]],4),MID(DailyCompletionTable[[#This Row],[PROCESS_DATE]],6,2),MID(DailyCompletionTable[[#This Row],[PROCESS_DATE]],9,2))</f>
        <v>44225</v>
      </c>
      <c r="H14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44224.855925925927</v>
      </c>
    </row>
    <row r="144" spans="1:8" x14ac:dyDescent="0.3">
      <c r="A144" s="2" t="s">
        <v>8</v>
      </c>
      <c r="B144" s="2" t="s">
        <v>9</v>
      </c>
      <c r="C144" s="2" t="s">
        <v>238</v>
      </c>
      <c r="D144" s="2" t="s">
        <v>11</v>
      </c>
      <c r="E144" s="2" t="s">
        <v>239</v>
      </c>
      <c r="F144" s="4" t="str">
        <f>DailyCompletionTable[[#This Row],[TABLE_NAME]]&amp;DailyCompletionTable[[#This Row],[PROCESS_DATE]]</f>
        <v>VIPOAJT2021-01-29</v>
      </c>
      <c r="G144" s="25">
        <f>DATE(LEFT(DailyCompletionTable[[#This Row],[PROCESS_DATE]],4),MID(DailyCompletionTable[[#This Row],[PROCESS_DATE]],6,2),MID(DailyCompletionTable[[#This Row],[PROCESS_DATE]],9,2))</f>
        <v>44225</v>
      </c>
      <c r="H14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44224.856423611112</v>
      </c>
    </row>
    <row r="145" spans="1:8" x14ac:dyDescent="0.3">
      <c r="A145" s="2" t="s">
        <v>8</v>
      </c>
      <c r="B145" s="2" t="s">
        <v>9</v>
      </c>
      <c r="C145" s="2" t="s">
        <v>240</v>
      </c>
      <c r="D145" s="2" t="s">
        <v>11</v>
      </c>
      <c r="E145" s="2" t="s">
        <v>239</v>
      </c>
      <c r="F145" s="4" t="str">
        <f>DailyCompletionTable[[#This Row],[TABLE_NAME]]&amp;DailyCompletionTable[[#This Row],[PROCESS_DATE]]</f>
        <v>VIPOAOT2021-01-29</v>
      </c>
      <c r="G145" s="25">
        <f>DATE(LEFT(DailyCompletionTable[[#This Row],[PROCESS_DATE]],4),MID(DailyCompletionTable[[#This Row],[PROCESS_DATE]],6,2),MID(DailyCompletionTable[[#This Row],[PROCESS_DATE]],9,2))</f>
        <v>44225</v>
      </c>
      <c r="H14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44224.856423611112</v>
      </c>
    </row>
    <row r="146" spans="1:8" x14ac:dyDescent="0.3">
      <c r="A146" s="2" t="s">
        <v>8</v>
      </c>
      <c r="B146" s="2" t="s">
        <v>9</v>
      </c>
      <c r="C146" s="2" t="s">
        <v>241</v>
      </c>
      <c r="D146" s="2" t="s">
        <v>11</v>
      </c>
      <c r="E146" s="2" t="s">
        <v>242</v>
      </c>
      <c r="F146" s="4" t="str">
        <f>DailyCompletionTable[[#This Row],[TABLE_NAME]]&amp;DailyCompletionTable[[#This Row],[PROCESS_DATE]]</f>
        <v>VIPOC1T2021-01-29</v>
      </c>
      <c r="G146" s="25">
        <f>DATE(LEFT(DailyCompletionTable[[#This Row],[PROCESS_DATE]],4),MID(DailyCompletionTable[[#This Row],[PROCESS_DATE]],6,2),MID(DailyCompletionTable[[#This Row],[PROCESS_DATE]],9,2))</f>
        <v>44225</v>
      </c>
      <c r="H14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44224.845821759256</v>
      </c>
    </row>
    <row r="147" spans="1:8" x14ac:dyDescent="0.3">
      <c r="A147" s="2" t="s">
        <v>8</v>
      </c>
      <c r="B147" s="2" t="s">
        <v>9</v>
      </c>
      <c r="C147" s="2" t="s">
        <v>243</v>
      </c>
      <c r="D147" s="2" t="s">
        <v>11</v>
      </c>
      <c r="E147" s="2" t="s">
        <v>244</v>
      </c>
      <c r="F147" s="4" t="str">
        <f>DailyCompletionTable[[#This Row],[TABLE_NAME]]&amp;DailyCompletionTable[[#This Row],[PROCESS_DATE]]</f>
        <v>VIPOCIT2021-01-29</v>
      </c>
      <c r="G147" s="25">
        <f>DATE(LEFT(DailyCompletionTable[[#This Row],[PROCESS_DATE]],4),MID(DailyCompletionTable[[#This Row],[PROCESS_DATE]],6,2),MID(DailyCompletionTable[[#This Row],[PROCESS_DATE]],9,2))</f>
        <v>44225</v>
      </c>
      <c r="H14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44224.954861111109</v>
      </c>
    </row>
    <row r="148" spans="1:8" x14ac:dyDescent="0.3">
      <c r="A148" s="2" t="s">
        <v>8</v>
      </c>
      <c r="B148" s="2" t="s">
        <v>9</v>
      </c>
      <c r="C148" s="2" t="s">
        <v>245</v>
      </c>
      <c r="D148" s="2" t="s">
        <v>11</v>
      </c>
      <c r="E148" s="2" t="s">
        <v>246</v>
      </c>
      <c r="F148" s="4" t="str">
        <f>DailyCompletionTable[[#This Row],[TABLE_NAME]]&amp;DailyCompletionTable[[#This Row],[PROCESS_DATE]]</f>
        <v>VIPOCLT2021-01-29</v>
      </c>
      <c r="G148" s="25">
        <f>DATE(LEFT(DailyCompletionTable[[#This Row],[PROCESS_DATE]],4),MID(DailyCompletionTable[[#This Row],[PROCESS_DATE]],6,2),MID(DailyCompletionTable[[#This Row],[PROCESS_DATE]],9,2))</f>
        <v>44225</v>
      </c>
      <c r="H14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44224.856111111112</v>
      </c>
    </row>
    <row r="149" spans="1:8" x14ac:dyDescent="0.3">
      <c r="A149" s="2" t="s">
        <v>8</v>
      </c>
      <c r="B149" s="2" t="s">
        <v>9</v>
      </c>
      <c r="C149" s="2" t="s">
        <v>247</v>
      </c>
      <c r="D149" s="2" t="s">
        <v>11</v>
      </c>
      <c r="E149" s="2" t="s">
        <v>248</v>
      </c>
      <c r="F149" s="4" t="str">
        <f>DailyCompletionTable[[#This Row],[TABLE_NAME]]&amp;DailyCompletionTable[[#This Row],[PROCESS_DATE]]</f>
        <v>VIPOCRT2021-01-29</v>
      </c>
      <c r="G149" s="25">
        <f>DATE(LEFT(DailyCompletionTable[[#This Row],[PROCESS_DATE]],4),MID(DailyCompletionTable[[#This Row],[PROCESS_DATE]],6,2),MID(DailyCompletionTable[[#This Row],[PROCESS_DATE]],9,2))</f>
        <v>44225</v>
      </c>
      <c r="H14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44224.856226851851</v>
      </c>
    </row>
    <row r="150" spans="1:8" x14ac:dyDescent="0.3">
      <c r="A150" s="2" t="s">
        <v>8</v>
      </c>
      <c r="B150" s="2" t="s">
        <v>9</v>
      </c>
      <c r="C150" s="2" t="s">
        <v>249</v>
      </c>
      <c r="D150" s="2" t="s">
        <v>11</v>
      </c>
      <c r="E150" s="2" t="s">
        <v>250</v>
      </c>
      <c r="F150" s="4" t="str">
        <f>DailyCompletionTable[[#This Row],[TABLE_NAME]]&amp;DailyCompletionTable[[#This Row],[PROCESS_DATE]]</f>
        <v>VIPODIT2021-01-29</v>
      </c>
      <c r="G150" s="25">
        <f>DATE(LEFT(DailyCompletionTable[[#This Row],[PROCESS_DATE]],4),MID(DailyCompletionTable[[#This Row],[PROCESS_DATE]],6,2),MID(DailyCompletionTable[[#This Row],[PROCESS_DATE]],9,2))</f>
        <v>44225</v>
      </c>
      <c r="H15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44224.868391203701</v>
      </c>
    </row>
    <row r="151" spans="1:8" x14ac:dyDescent="0.3">
      <c r="A151" s="2" t="s">
        <v>8</v>
      </c>
      <c r="B151" s="2" t="s">
        <v>9</v>
      </c>
      <c r="C151" s="2" t="s">
        <v>251</v>
      </c>
      <c r="D151" s="2" t="s">
        <v>11</v>
      </c>
      <c r="E151" s="2" t="s">
        <v>93</v>
      </c>
      <c r="F151" s="4" t="str">
        <f>DailyCompletionTable[[#This Row],[TABLE_NAME]]&amp;DailyCompletionTable[[#This Row],[PROCESS_DATE]]</f>
        <v>VIPODST2021-01-29</v>
      </c>
      <c r="G151" s="25">
        <f>DATE(LEFT(DailyCompletionTable[[#This Row],[PROCESS_DATE]],4),MID(DailyCompletionTable[[#This Row],[PROCESS_DATE]],6,2),MID(DailyCompletionTable[[#This Row],[PROCESS_DATE]],9,2))</f>
        <v>44225</v>
      </c>
      <c r="H15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44224.855578703704</v>
      </c>
    </row>
    <row r="152" spans="1:8" x14ac:dyDescent="0.3">
      <c r="A152" s="2" t="s">
        <v>8</v>
      </c>
      <c r="B152" s="2" t="s">
        <v>9</v>
      </c>
      <c r="C152" s="2" t="s">
        <v>252</v>
      </c>
      <c r="D152" s="2" t="s">
        <v>11</v>
      </c>
      <c r="E152" s="2" t="s">
        <v>201</v>
      </c>
      <c r="F152" s="4" t="str">
        <f>DailyCompletionTable[[#This Row],[TABLE_NAME]]&amp;DailyCompletionTable[[#This Row],[PROCESS_DATE]]</f>
        <v>VIPOHIT2021-01-29</v>
      </c>
      <c r="G152" s="25">
        <f>DATE(LEFT(DailyCompletionTable[[#This Row],[PROCESS_DATE]],4),MID(DailyCompletionTable[[#This Row],[PROCESS_DATE]],6,2),MID(DailyCompletionTable[[#This Row],[PROCESS_DATE]],9,2))</f>
        <v>44225</v>
      </c>
      <c r="H15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44224.855925925927</v>
      </c>
    </row>
    <row r="153" spans="1:8" x14ac:dyDescent="0.3">
      <c r="A153" s="2" t="s">
        <v>8</v>
      </c>
      <c r="B153" s="2" t="s">
        <v>9</v>
      </c>
      <c r="C153" s="2" t="s">
        <v>253</v>
      </c>
      <c r="D153" s="2" t="s">
        <v>11</v>
      </c>
      <c r="E153" s="2" t="s">
        <v>193</v>
      </c>
      <c r="F153" s="4" t="str">
        <f>DailyCompletionTable[[#This Row],[TABLE_NAME]]&amp;DailyCompletionTable[[#This Row],[PROCESS_DATE]]</f>
        <v>VIPOJAT2021-01-29</v>
      </c>
      <c r="G153" s="25">
        <f>DATE(LEFT(DailyCompletionTable[[#This Row],[PROCESS_DATE]],4),MID(DailyCompletionTable[[#This Row],[PROCESS_DATE]],6,2),MID(DailyCompletionTable[[#This Row],[PROCESS_DATE]],9,2))</f>
        <v>44225</v>
      </c>
      <c r="H15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44224.855833333335</v>
      </c>
    </row>
    <row r="154" spans="1:8" x14ac:dyDescent="0.3">
      <c r="A154" s="2" t="s">
        <v>8</v>
      </c>
      <c r="B154" s="2" t="s">
        <v>9</v>
      </c>
      <c r="C154" s="2" t="s">
        <v>254</v>
      </c>
      <c r="D154" s="2" t="s">
        <v>11</v>
      </c>
      <c r="E154" s="2" t="s">
        <v>193</v>
      </c>
      <c r="F154" s="4" t="str">
        <f>DailyCompletionTable[[#This Row],[TABLE_NAME]]&amp;DailyCompletionTable[[#This Row],[PROCESS_DATE]]</f>
        <v>VIPOJBT2021-01-29</v>
      </c>
      <c r="G154" s="25">
        <f>DATE(LEFT(DailyCompletionTable[[#This Row],[PROCESS_DATE]],4),MID(DailyCompletionTable[[#This Row],[PROCESS_DATE]],6,2),MID(DailyCompletionTable[[#This Row],[PROCESS_DATE]],9,2))</f>
        <v>44225</v>
      </c>
      <c r="H15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44224.855833333335</v>
      </c>
    </row>
    <row r="155" spans="1:8" x14ac:dyDescent="0.3">
      <c r="A155" s="2" t="s">
        <v>8</v>
      </c>
      <c r="B155" s="2" t="s">
        <v>9</v>
      </c>
      <c r="C155" s="2" t="s">
        <v>255</v>
      </c>
      <c r="D155" s="2" t="s">
        <v>11</v>
      </c>
      <c r="E155" s="2" t="s">
        <v>150</v>
      </c>
      <c r="F155" s="4" t="str">
        <f>DailyCompletionTable[[#This Row],[TABLE_NAME]]&amp;DailyCompletionTable[[#This Row],[PROCESS_DATE]]</f>
        <v>VIPOJCT2021-01-29</v>
      </c>
      <c r="G155" s="25">
        <f>DATE(LEFT(DailyCompletionTable[[#This Row],[PROCESS_DATE]],4),MID(DailyCompletionTable[[#This Row],[PROCESS_DATE]],6,2),MID(DailyCompletionTable[[#This Row],[PROCESS_DATE]],9,2))</f>
        <v>44225</v>
      </c>
      <c r="H15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44225.091423611113</v>
      </c>
    </row>
    <row r="156" spans="1:8" x14ac:dyDescent="0.3">
      <c r="A156" s="2" t="s">
        <v>8</v>
      </c>
      <c r="B156" s="2" t="s">
        <v>9</v>
      </c>
      <c r="C156" s="2" t="s">
        <v>256</v>
      </c>
      <c r="D156" s="2" t="s">
        <v>11</v>
      </c>
      <c r="E156" s="2" t="s">
        <v>193</v>
      </c>
      <c r="F156" s="4" t="str">
        <f>DailyCompletionTable[[#This Row],[TABLE_NAME]]&amp;DailyCompletionTable[[#This Row],[PROCESS_DATE]]</f>
        <v>VIPOJNT2021-01-29</v>
      </c>
      <c r="G156" s="25">
        <f>DATE(LEFT(DailyCompletionTable[[#This Row],[PROCESS_DATE]],4),MID(DailyCompletionTable[[#This Row],[PROCESS_DATE]],6,2),MID(DailyCompletionTable[[#This Row],[PROCESS_DATE]],9,2))</f>
        <v>44225</v>
      </c>
      <c r="H15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44224.855833333335</v>
      </c>
    </row>
    <row r="157" spans="1:8" x14ac:dyDescent="0.3">
      <c r="A157" s="2" t="s">
        <v>8</v>
      </c>
      <c r="B157" s="2" t="s">
        <v>9</v>
      </c>
      <c r="C157" s="2" t="s">
        <v>257</v>
      </c>
      <c r="D157" s="2" t="s">
        <v>11</v>
      </c>
      <c r="E157" s="2" t="s">
        <v>258</v>
      </c>
      <c r="F157" s="4" t="str">
        <f>DailyCompletionTable[[#This Row],[TABLE_NAME]]&amp;DailyCompletionTable[[#This Row],[PROCESS_DATE]]</f>
        <v>VIPOOIT2021-01-29</v>
      </c>
      <c r="G157" s="25">
        <f>DATE(LEFT(DailyCompletionTable[[#This Row],[PROCESS_DATE]],4),MID(DailyCompletionTable[[#This Row],[PROCESS_DATE]],6,2),MID(DailyCompletionTable[[#This Row],[PROCESS_DATE]],9,2))</f>
        <v>44225</v>
      </c>
      <c r="H15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44224.915370370371</v>
      </c>
    </row>
    <row r="158" spans="1:8" x14ac:dyDescent="0.3">
      <c r="A158" s="2" t="s">
        <v>8</v>
      </c>
      <c r="B158" s="2" t="s">
        <v>9</v>
      </c>
      <c r="C158" s="2" t="s">
        <v>259</v>
      </c>
      <c r="D158" s="2" t="s">
        <v>11</v>
      </c>
      <c r="E158" s="2" t="s">
        <v>246</v>
      </c>
      <c r="F158" s="4" t="str">
        <f>DailyCompletionTable[[#This Row],[TABLE_NAME]]&amp;DailyCompletionTable[[#This Row],[PROCESS_DATE]]</f>
        <v>VIPOOLT2021-01-29</v>
      </c>
      <c r="G158" s="25">
        <f>DATE(LEFT(DailyCompletionTable[[#This Row],[PROCESS_DATE]],4),MID(DailyCompletionTable[[#This Row],[PROCESS_DATE]],6,2),MID(DailyCompletionTable[[#This Row],[PROCESS_DATE]],9,2))</f>
        <v>44225</v>
      </c>
      <c r="H15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44224.856111111112</v>
      </c>
    </row>
    <row r="159" spans="1:8" x14ac:dyDescent="0.3">
      <c r="A159" s="2" t="s">
        <v>8</v>
      </c>
      <c r="B159" s="2" t="s">
        <v>9</v>
      </c>
      <c r="C159" s="2" t="s">
        <v>260</v>
      </c>
      <c r="D159" s="2" t="s">
        <v>11</v>
      </c>
      <c r="E159" s="2" t="s">
        <v>248</v>
      </c>
      <c r="F159" s="4" t="str">
        <f>DailyCompletionTable[[#This Row],[TABLE_NAME]]&amp;DailyCompletionTable[[#This Row],[PROCESS_DATE]]</f>
        <v>VIPOORT2021-01-29</v>
      </c>
      <c r="G159" s="25">
        <f>DATE(LEFT(DailyCompletionTable[[#This Row],[PROCESS_DATE]],4),MID(DailyCompletionTable[[#This Row],[PROCESS_DATE]],6,2),MID(DailyCompletionTable[[#This Row],[PROCESS_DATE]],9,2))</f>
        <v>44225</v>
      </c>
      <c r="H15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44224.856226851851</v>
      </c>
    </row>
    <row r="160" spans="1:8" x14ac:dyDescent="0.3">
      <c r="A160" s="2" t="s">
        <v>8</v>
      </c>
      <c r="B160" s="2" t="s">
        <v>9</v>
      </c>
      <c r="C160" s="2" t="s">
        <v>261</v>
      </c>
      <c r="D160" s="2" t="s">
        <v>11</v>
      </c>
      <c r="E160" s="2" t="s">
        <v>262</v>
      </c>
      <c r="F160" s="4" t="str">
        <f>DailyCompletionTable[[#This Row],[TABLE_NAME]]&amp;DailyCompletionTable[[#This Row],[PROCESS_DATE]]</f>
        <v>VIPOPET2021-01-29</v>
      </c>
      <c r="G160" s="25">
        <f>DATE(LEFT(DailyCompletionTable[[#This Row],[PROCESS_DATE]],4),MID(DailyCompletionTable[[#This Row],[PROCESS_DATE]],6,2),MID(DailyCompletionTable[[#This Row],[PROCESS_DATE]],9,2))</f>
        <v>44225</v>
      </c>
      <c r="H16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44224.855266203704</v>
      </c>
    </row>
    <row r="161" spans="1:8" x14ac:dyDescent="0.3">
      <c r="A161" s="2" t="s">
        <v>8</v>
      </c>
      <c r="B161" s="2" t="s">
        <v>9</v>
      </c>
      <c r="C161" s="2" t="s">
        <v>263</v>
      </c>
      <c r="D161" s="2" t="s">
        <v>11</v>
      </c>
      <c r="E161" s="2" t="s">
        <v>264</v>
      </c>
      <c r="F161" s="4" t="str">
        <f>DailyCompletionTable[[#This Row],[TABLE_NAME]]&amp;DailyCompletionTable[[#This Row],[PROCESS_DATE]]</f>
        <v>VIPOPIT2021-01-29</v>
      </c>
      <c r="G161" s="25">
        <f>DATE(LEFT(DailyCompletionTable[[#This Row],[PROCESS_DATE]],4),MID(DailyCompletionTable[[#This Row],[PROCESS_DATE]],6,2),MID(DailyCompletionTable[[#This Row],[PROCESS_DATE]],9,2))</f>
        <v>44225</v>
      </c>
      <c r="H16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44224.85664351852</v>
      </c>
    </row>
    <row r="162" spans="1:8" x14ac:dyDescent="0.3">
      <c r="A162" s="2" t="s">
        <v>8</v>
      </c>
      <c r="B162" s="2" t="s">
        <v>9</v>
      </c>
      <c r="C162" s="2" t="s">
        <v>265</v>
      </c>
      <c r="D162" s="2" t="s">
        <v>11</v>
      </c>
      <c r="E162" s="2" t="s">
        <v>266</v>
      </c>
      <c r="F162" s="4" t="str">
        <f>DailyCompletionTable[[#This Row],[TABLE_NAME]]&amp;DailyCompletionTable[[#This Row],[PROCESS_DATE]]</f>
        <v>VIPOPPT2021-01-29</v>
      </c>
      <c r="G162" s="25">
        <f>DATE(LEFT(DailyCompletionTable[[#This Row],[PROCESS_DATE]],4),MID(DailyCompletionTable[[#This Row],[PROCESS_DATE]],6,2),MID(DailyCompletionTable[[#This Row],[PROCESS_DATE]],9,2))</f>
        <v>44225</v>
      </c>
      <c r="H16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44224.855486111112</v>
      </c>
    </row>
    <row r="163" spans="1:8" x14ac:dyDescent="0.3">
      <c r="A163" s="2" t="s">
        <v>8</v>
      </c>
      <c r="B163" s="2" t="s">
        <v>9</v>
      </c>
      <c r="C163" s="2" t="s">
        <v>267</v>
      </c>
      <c r="D163" s="2" t="s">
        <v>11</v>
      </c>
      <c r="E163" s="2" t="s">
        <v>268</v>
      </c>
      <c r="F163" s="4" t="str">
        <f>DailyCompletionTable[[#This Row],[TABLE_NAME]]&amp;DailyCompletionTable[[#This Row],[PROCESS_DATE]]</f>
        <v>VIPORET2021-01-29</v>
      </c>
      <c r="G163" s="25">
        <f>DATE(LEFT(DailyCompletionTable[[#This Row],[PROCESS_DATE]],4),MID(DailyCompletionTable[[#This Row],[PROCESS_DATE]],6,2),MID(DailyCompletionTable[[#This Row],[PROCESS_DATE]],9,2))</f>
        <v>44225</v>
      </c>
      <c r="H16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44224.863923611112</v>
      </c>
    </row>
    <row r="164" spans="1:8" x14ac:dyDescent="0.3">
      <c r="A164" s="2" t="s">
        <v>8</v>
      </c>
      <c r="B164" s="2" t="s">
        <v>9</v>
      </c>
      <c r="C164" s="2" t="s">
        <v>269</v>
      </c>
      <c r="D164" s="2" t="s">
        <v>11</v>
      </c>
      <c r="E164" s="2" t="s">
        <v>270</v>
      </c>
      <c r="F164" s="4" t="str">
        <f>DailyCompletionTable[[#This Row],[TABLE_NAME]]&amp;DailyCompletionTable[[#This Row],[PROCESS_DATE]]</f>
        <v>VIPOSIT2021-01-29</v>
      </c>
      <c r="G164" s="25">
        <f>DATE(LEFT(DailyCompletionTable[[#This Row],[PROCESS_DATE]],4),MID(DailyCompletionTable[[#This Row],[PROCESS_DATE]],6,2),MID(DailyCompletionTable[[#This Row],[PROCESS_DATE]],9,2))</f>
        <v>44225</v>
      </c>
      <c r="H16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44224.941666666666</v>
      </c>
    </row>
    <row r="165" spans="1:8" x14ac:dyDescent="0.3">
      <c r="A165" s="2" t="s">
        <v>8</v>
      </c>
      <c r="B165" s="2" t="s">
        <v>9</v>
      </c>
      <c r="C165" s="2" t="s">
        <v>271</v>
      </c>
      <c r="D165" s="2" t="s">
        <v>11</v>
      </c>
      <c r="E165" s="2" t="s">
        <v>148</v>
      </c>
      <c r="F165" s="4" t="str">
        <f>DailyCompletionTable[[#This Row],[TABLE_NAME]]&amp;DailyCompletionTable[[#This Row],[PROCESS_DATE]]</f>
        <v>VIPOTBT2021-01-29</v>
      </c>
      <c r="G165" s="25">
        <f>DATE(LEFT(DailyCompletionTable[[#This Row],[PROCESS_DATE]],4),MID(DailyCompletionTable[[#This Row],[PROCESS_DATE]],6,2),MID(DailyCompletionTable[[#This Row],[PROCESS_DATE]],9,2))</f>
        <v>44225</v>
      </c>
      <c r="H16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44225.090370370373</v>
      </c>
    </row>
    <row r="166" spans="1:8" x14ac:dyDescent="0.3">
      <c r="A166" s="2" t="s">
        <v>8</v>
      </c>
      <c r="B166" s="2" t="s">
        <v>9</v>
      </c>
      <c r="C166" s="2" t="s">
        <v>272</v>
      </c>
      <c r="D166" s="2" t="s">
        <v>11</v>
      </c>
      <c r="E166" s="2" t="s">
        <v>273</v>
      </c>
      <c r="F166" s="4" t="str">
        <f>DailyCompletionTable[[#This Row],[TABLE_NAME]]&amp;DailyCompletionTable[[#This Row],[PROCESS_DATE]]</f>
        <v>VIPOTDT2021-01-29</v>
      </c>
      <c r="G166" s="25">
        <f>DATE(LEFT(DailyCompletionTable[[#This Row],[PROCESS_DATE]],4),MID(DailyCompletionTable[[#This Row],[PROCESS_DATE]],6,2),MID(DailyCompletionTable[[#This Row],[PROCESS_DATE]],9,2))</f>
        <v>44225</v>
      </c>
      <c r="H16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44225.090381944443</v>
      </c>
    </row>
    <row r="167" spans="1:8" x14ac:dyDescent="0.3">
      <c r="A167" s="2" t="s">
        <v>8</v>
      </c>
      <c r="B167" s="2" t="s">
        <v>9</v>
      </c>
      <c r="C167" s="2" t="s">
        <v>274</v>
      </c>
      <c r="D167" s="2" t="s">
        <v>11</v>
      </c>
      <c r="E167" s="2" t="s">
        <v>246</v>
      </c>
      <c r="F167" s="4" t="str">
        <f>DailyCompletionTable[[#This Row],[TABLE_NAME]]&amp;DailyCompletionTable[[#This Row],[PROCESS_DATE]]</f>
        <v>VIPOTLT2021-01-29</v>
      </c>
      <c r="G167" s="25">
        <f>DATE(LEFT(DailyCompletionTable[[#This Row],[PROCESS_DATE]],4),MID(DailyCompletionTable[[#This Row],[PROCESS_DATE]],6,2),MID(DailyCompletionTable[[#This Row],[PROCESS_DATE]],9,2))</f>
        <v>44225</v>
      </c>
      <c r="H16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44224.856111111112</v>
      </c>
    </row>
    <row r="168" spans="1:8" x14ac:dyDescent="0.3">
      <c r="A168" s="2" t="s">
        <v>8</v>
      </c>
      <c r="B168" s="2" t="s">
        <v>9</v>
      </c>
      <c r="C168" s="2" t="s">
        <v>275</v>
      </c>
      <c r="D168" s="2" t="s">
        <v>11</v>
      </c>
      <c r="E168" s="2" t="s">
        <v>248</v>
      </c>
      <c r="F168" s="4" t="str">
        <f>DailyCompletionTable[[#This Row],[TABLE_NAME]]&amp;DailyCompletionTable[[#This Row],[PROCESS_DATE]]</f>
        <v>VIPOTRT2021-01-29</v>
      </c>
      <c r="G168" s="25">
        <f>DATE(LEFT(DailyCompletionTable[[#This Row],[PROCESS_DATE]],4),MID(DailyCompletionTable[[#This Row],[PROCESS_DATE]],6,2),MID(DailyCompletionTable[[#This Row],[PROCESS_DATE]],9,2))</f>
        <v>44225</v>
      </c>
      <c r="H16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44224.856226851851</v>
      </c>
    </row>
    <row r="169" spans="1:8" x14ac:dyDescent="0.3">
      <c r="A169" s="2" t="s">
        <v>8</v>
      </c>
      <c r="B169" s="2" t="s">
        <v>9</v>
      </c>
      <c r="C169" s="2" t="s">
        <v>276</v>
      </c>
      <c r="D169" s="2" t="s">
        <v>11</v>
      </c>
      <c r="E169" s="2" t="s">
        <v>277</v>
      </c>
      <c r="F169" s="4" t="str">
        <f>DailyCompletionTable[[#This Row],[TABLE_NAME]]&amp;DailyCompletionTable[[#This Row],[PROCESS_DATE]]</f>
        <v>VIPPAJT2021-01-29</v>
      </c>
      <c r="G169" s="25">
        <f>DATE(LEFT(DailyCompletionTable[[#This Row],[PROCESS_DATE]],4),MID(DailyCompletionTable[[#This Row],[PROCESS_DATE]],6,2),MID(DailyCompletionTable[[#This Row],[PROCESS_DATE]],9,2))</f>
        <v>44225</v>
      </c>
      <c r="H16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44224.928472222222</v>
      </c>
    </row>
    <row r="170" spans="1:8" x14ac:dyDescent="0.3">
      <c r="A170" s="2" t="s">
        <v>8</v>
      </c>
      <c r="B170" s="2" t="s">
        <v>9</v>
      </c>
      <c r="C170" s="2" t="s">
        <v>278</v>
      </c>
      <c r="D170" s="2" t="s">
        <v>11</v>
      </c>
      <c r="E170" s="2" t="s">
        <v>279</v>
      </c>
      <c r="F170" s="4" t="str">
        <f>DailyCompletionTable[[#This Row],[TABLE_NAME]]&amp;DailyCompletionTable[[#This Row],[PROCESS_DATE]]</f>
        <v>VIPPART2021-01-29</v>
      </c>
      <c r="G170" s="25">
        <f>DATE(LEFT(DailyCompletionTable[[#This Row],[PROCESS_DATE]],4),MID(DailyCompletionTable[[#This Row],[PROCESS_DATE]],6,2),MID(DailyCompletionTable[[#This Row],[PROCESS_DATE]],9,2))</f>
        <v>44225</v>
      </c>
      <c r="H17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44224.857905092591</v>
      </c>
    </row>
    <row r="171" spans="1:8" x14ac:dyDescent="0.3">
      <c r="A171" s="2" t="s">
        <v>8</v>
      </c>
      <c r="B171" s="2" t="s">
        <v>9</v>
      </c>
      <c r="C171" s="2" t="s">
        <v>280</v>
      </c>
      <c r="D171" s="2" t="s">
        <v>11</v>
      </c>
      <c r="E171" s="2" t="s">
        <v>262</v>
      </c>
      <c r="F171" s="4" t="str">
        <f>DailyCompletionTable[[#This Row],[TABLE_NAME]]&amp;DailyCompletionTable[[#This Row],[PROCESS_DATE]]</f>
        <v>VIPPDAT2021-01-29</v>
      </c>
      <c r="G171" s="25">
        <f>DATE(LEFT(DailyCompletionTable[[#This Row],[PROCESS_DATE]],4),MID(DailyCompletionTable[[#This Row],[PROCESS_DATE]],6,2),MID(DailyCompletionTable[[#This Row],[PROCESS_DATE]],9,2))</f>
        <v>44225</v>
      </c>
      <c r="H17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44224.855266203704</v>
      </c>
    </row>
    <row r="172" spans="1:8" x14ac:dyDescent="0.3">
      <c r="A172" s="2" t="s">
        <v>8</v>
      </c>
      <c r="B172" s="2" t="s">
        <v>9</v>
      </c>
      <c r="C172" s="2" t="s">
        <v>281</v>
      </c>
      <c r="D172" s="2" t="s">
        <v>11</v>
      </c>
      <c r="E172" s="2" t="s">
        <v>266</v>
      </c>
      <c r="F172" s="4" t="str">
        <f>DailyCompletionTable[[#This Row],[TABLE_NAME]]&amp;DailyCompletionTable[[#This Row],[PROCESS_DATE]]</f>
        <v>VIPPLCT2021-01-29</v>
      </c>
      <c r="G172" s="25">
        <f>DATE(LEFT(DailyCompletionTable[[#This Row],[PROCESS_DATE]],4),MID(DailyCompletionTable[[#This Row],[PROCESS_DATE]],6,2),MID(DailyCompletionTable[[#This Row],[PROCESS_DATE]],9,2))</f>
        <v>44225</v>
      </c>
      <c r="H17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44224.855486111112</v>
      </c>
    </row>
    <row r="173" spans="1:8" x14ac:dyDescent="0.3">
      <c r="A173" s="2" t="s">
        <v>8</v>
      </c>
      <c r="B173" s="2" t="s">
        <v>9</v>
      </c>
      <c r="C173" s="2" t="s">
        <v>282</v>
      </c>
      <c r="D173" s="2" t="s">
        <v>11</v>
      </c>
      <c r="E173" s="2" t="s">
        <v>283</v>
      </c>
      <c r="F173" s="4" t="str">
        <f>DailyCompletionTable[[#This Row],[TABLE_NAME]]&amp;DailyCompletionTable[[#This Row],[PROCESS_DATE]]</f>
        <v>VIPRQBT2021-01-29</v>
      </c>
      <c r="G173" s="25">
        <f>DATE(LEFT(DailyCompletionTable[[#This Row],[PROCESS_DATE]],4),MID(DailyCompletionTable[[#This Row],[PROCESS_DATE]],6,2),MID(DailyCompletionTable[[#This Row],[PROCESS_DATE]],9,2))</f>
        <v>44225</v>
      </c>
      <c r="H17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44224.85670138889</v>
      </c>
    </row>
    <row r="174" spans="1:8" x14ac:dyDescent="0.3">
      <c r="A174" s="2" t="s">
        <v>8</v>
      </c>
      <c r="B174" s="2" t="s">
        <v>9</v>
      </c>
      <c r="C174" s="2" t="s">
        <v>284</v>
      </c>
      <c r="D174" s="2" t="s">
        <v>11</v>
      </c>
      <c r="E174" s="2" t="s">
        <v>285</v>
      </c>
      <c r="F174" s="4" t="str">
        <f>DailyCompletionTable[[#This Row],[TABLE_NAME]]&amp;DailyCompletionTable[[#This Row],[PROCESS_DATE]]</f>
        <v>VIPRQST2021-01-29</v>
      </c>
      <c r="G174" s="25">
        <f>DATE(LEFT(DailyCompletionTable[[#This Row],[PROCESS_DATE]],4),MID(DailyCompletionTable[[#This Row],[PROCESS_DATE]],6,2),MID(DailyCompletionTable[[#This Row],[PROCESS_DATE]],9,2))</f>
        <v>44225</v>
      </c>
      <c r="H17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44224.854710648149</v>
      </c>
    </row>
    <row r="175" spans="1:8" x14ac:dyDescent="0.3">
      <c r="A175" s="2" t="s">
        <v>8</v>
      </c>
      <c r="B175" s="2" t="s">
        <v>9</v>
      </c>
      <c r="C175" s="2" t="s">
        <v>286</v>
      </c>
      <c r="D175" s="2" t="s">
        <v>70</v>
      </c>
      <c r="E175" s="2" t="s">
        <v>287</v>
      </c>
      <c r="F175" s="4" t="str">
        <f>DailyCompletionTable[[#This Row],[TABLE_NAME]]&amp;DailyCompletionTable[[#This Row],[PROCESS_DATE]]</f>
        <v>VIPRTYT2021-01-22</v>
      </c>
      <c r="G175" s="25">
        <f>DATE(LEFT(DailyCompletionTable[[#This Row],[PROCESS_DATE]],4),MID(DailyCompletionTable[[#This Row],[PROCESS_DATE]],6,2),MID(DailyCompletionTable[[#This Row],[PROCESS_DATE]],9,2))</f>
        <v>44218</v>
      </c>
      <c r="H17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44218.230428240742</v>
      </c>
    </row>
    <row r="176" spans="1:8" x14ac:dyDescent="0.3">
      <c r="A176" s="2" t="s">
        <v>8</v>
      </c>
      <c r="B176" s="2" t="s">
        <v>9</v>
      </c>
      <c r="C176" s="2" t="s">
        <v>288</v>
      </c>
      <c r="D176" s="2" t="s">
        <v>11</v>
      </c>
      <c r="E176" s="2" t="s">
        <v>289</v>
      </c>
      <c r="F176" s="4" t="str">
        <f>DailyCompletionTable[[#This Row],[TABLE_NAME]]&amp;DailyCompletionTable[[#This Row],[PROCESS_DATE]]</f>
        <v>VIPSACT2021-01-29</v>
      </c>
      <c r="G176" s="25">
        <f>DATE(LEFT(DailyCompletionTable[[#This Row],[PROCESS_DATE]],4),MID(DailyCompletionTable[[#This Row],[PROCESS_DATE]],6,2),MID(DailyCompletionTable[[#This Row],[PROCESS_DATE]],9,2))</f>
        <v>44225</v>
      </c>
      <c r="H17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44224.858657407407</v>
      </c>
    </row>
    <row r="177" spans="1:8" x14ac:dyDescent="0.3">
      <c r="A177" s="2" t="s">
        <v>8</v>
      </c>
      <c r="B177" s="2" t="s">
        <v>9</v>
      </c>
      <c r="C177" s="2" t="s">
        <v>290</v>
      </c>
      <c r="D177" s="2" t="s">
        <v>11</v>
      </c>
      <c r="E177" s="2" t="s">
        <v>208</v>
      </c>
      <c r="F177" s="4" t="str">
        <f>DailyCompletionTable[[#This Row],[TABLE_NAME]]&amp;DailyCompletionTable[[#This Row],[PROCESS_DATE]]</f>
        <v>VIPSB2T2021-01-29</v>
      </c>
      <c r="G177" s="25">
        <f>DATE(LEFT(DailyCompletionTable[[#This Row],[PROCESS_DATE]],4),MID(DailyCompletionTable[[#This Row],[PROCESS_DATE]],6,2),MID(DailyCompletionTable[[#This Row],[PROCESS_DATE]],9,2))</f>
        <v>44225</v>
      </c>
      <c r="H17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44224.931250000001</v>
      </c>
    </row>
    <row r="178" spans="1:8" x14ac:dyDescent="0.3">
      <c r="A178" s="2" t="s">
        <v>8</v>
      </c>
      <c r="B178" s="2" t="s">
        <v>9</v>
      </c>
      <c r="C178" s="2" t="s">
        <v>291</v>
      </c>
      <c r="D178" s="2" t="s">
        <v>11</v>
      </c>
      <c r="E178" s="2" t="s">
        <v>292</v>
      </c>
      <c r="F178" s="4" t="str">
        <f>DailyCompletionTable[[#This Row],[TABLE_NAME]]&amp;DailyCompletionTable[[#This Row],[PROCESS_DATE]]</f>
        <v>VIPSBBT2021-01-29</v>
      </c>
      <c r="G178" s="25">
        <f>DATE(LEFT(DailyCompletionTable[[#This Row],[PROCESS_DATE]],4),MID(DailyCompletionTable[[#This Row],[PROCESS_DATE]],6,2),MID(DailyCompletionTable[[#This Row],[PROCESS_DATE]],9,2))</f>
        <v>44225</v>
      </c>
      <c r="H17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44224.948055555556</v>
      </c>
    </row>
    <row r="179" spans="1:8" x14ac:dyDescent="0.3">
      <c r="A179" s="2" t="s">
        <v>8</v>
      </c>
      <c r="B179" s="2" t="s">
        <v>9</v>
      </c>
      <c r="C179" s="2" t="s">
        <v>293</v>
      </c>
      <c r="D179" s="2" t="s">
        <v>11</v>
      </c>
      <c r="E179" s="2" t="s">
        <v>208</v>
      </c>
      <c r="F179" s="4" t="str">
        <f>DailyCompletionTable[[#This Row],[TABLE_NAME]]&amp;DailyCompletionTable[[#This Row],[PROCESS_DATE]]</f>
        <v>VIPSBOT2021-01-29</v>
      </c>
      <c r="G179" s="25">
        <f>DATE(LEFT(DailyCompletionTable[[#This Row],[PROCESS_DATE]],4),MID(DailyCompletionTable[[#This Row],[PROCESS_DATE]],6,2),MID(DailyCompletionTable[[#This Row],[PROCESS_DATE]],9,2))</f>
        <v>44225</v>
      </c>
      <c r="H17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44224.931250000001</v>
      </c>
    </row>
    <row r="180" spans="1:8" x14ac:dyDescent="0.3">
      <c r="A180" s="2" t="s">
        <v>8</v>
      </c>
      <c r="B180" s="2" t="s">
        <v>9</v>
      </c>
      <c r="C180" s="2" t="s">
        <v>294</v>
      </c>
      <c r="D180" s="2" t="s">
        <v>11</v>
      </c>
      <c r="E180" s="2" t="s">
        <v>208</v>
      </c>
      <c r="F180" s="4" t="str">
        <f>DailyCompletionTable[[#This Row],[TABLE_NAME]]&amp;DailyCompletionTable[[#This Row],[PROCESS_DATE]]</f>
        <v>VIPSBTT2021-01-29</v>
      </c>
      <c r="G180" s="25">
        <f>DATE(LEFT(DailyCompletionTable[[#This Row],[PROCESS_DATE]],4),MID(DailyCompletionTable[[#This Row],[PROCESS_DATE]],6,2),MID(DailyCompletionTable[[#This Row],[PROCESS_DATE]],9,2))</f>
        <v>44225</v>
      </c>
      <c r="H18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44224.931250000001</v>
      </c>
    </row>
    <row r="181" spans="1:8" x14ac:dyDescent="0.3">
      <c r="A181" s="2" t="s">
        <v>8</v>
      </c>
      <c r="B181" s="2" t="s">
        <v>9</v>
      </c>
      <c r="C181" s="2" t="s">
        <v>295</v>
      </c>
      <c r="D181" s="2" t="s">
        <v>11</v>
      </c>
      <c r="E181" s="2" t="s">
        <v>208</v>
      </c>
      <c r="F181" s="4" t="str">
        <f>DailyCompletionTable[[#This Row],[TABLE_NAME]]&amp;DailyCompletionTable[[#This Row],[PROCESS_DATE]]</f>
        <v>VIPSBUT2021-01-29</v>
      </c>
      <c r="G181" s="25">
        <f>DATE(LEFT(DailyCompletionTable[[#This Row],[PROCESS_DATE]],4),MID(DailyCompletionTable[[#This Row],[PROCESS_DATE]],6,2),MID(DailyCompletionTable[[#This Row],[PROCESS_DATE]],9,2))</f>
        <v>44225</v>
      </c>
      <c r="H18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44224.931250000001</v>
      </c>
    </row>
    <row r="182" spans="1:8" x14ac:dyDescent="0.3">
      <c r="A182" s="2" t="s">
        <v>8</v>
      </c>
      <c r="B182" s="2" t="s">
        <v>9</v>
      </c>
      <c r="C182" s="2" t="s">
        <v>296</v>
      </c>
      <c r="D182" s="2" t="s">
        <v>11</v>
      </c>
      <c r="E182" s="2" t="s">
        <v>236</v>
      </c>
      <c r="F182" s="4" t="str">
        <f>DailyCompletionTable[[#This Row],[TABLE_NAME]]&amp;DailyCompletionTable[[#This Row],[PROCESS_DATE]]</f>
        <v>VIPSCHT2021-01-29</v>
      </c>
      <c r="G182" s="25">
        <f>DATE(LEFT(DailyCompletionTable[[#This Row],[PROCESS_DATE]],4),MID(DailyCompletionTable[[#This Row],[PROCESS_DATE]],6,2),MID(DailyCompletionTable[[#This Row],[PROCESS_DATE]],9,2))</f>
        <v>44225</v>
      </c>
      <c r="H18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44224.855439814812</v>
      </c>
    </row>
    <row r="183" spans="1:8" x14ac:dyDescent="0.3">
      <c r="A183" s="2" t="s">
        <v>8</v>
      </c>
      <c r="B183" s="2" t="s">
        <v>9</v>
      </c>
      <c r="C183" s="2" t="s">
        <v>297</v>
      </c>
      <c r="D183" s="2" t="s">
        <v>11</v>
      </c>
      <c r="E183" s="2" t="s">
        <v>289</v>
      </c>
      <c r="F183" s="4" t="str">
        <f>DailyCompletionTable[[#This Row],[TABLE_NAME]]&amp;DailyCompletionTable[[#This Row],[PROCESS_DATE]]</f>
        <v>VIPSEQT2021-01-29</v>
      </c>
      <c r="G183" s="25">
        <f>DATE(LEFT(DailyCompletionTable[[#This Row],[PROCESS_DATE]],4),MID(DailyCompletionTable[[#This Row],[PROCESS_DATE]],6,2),MID(DailyCompletionTable[[#This Row],[PROCESS_DATE]],9,2))</f>
        <v>44225</v>
      </c>
      <c r="H18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44224.858657407407</v>
      </c>
    </row>
    <row r="184" spans="1:8" x14ac:dyDescent="0.3">
      <c r="A184" s="2" t="s">
        <v>8</v>
      </c>
      <c r="B184" s="2" t="s">
        <v>9</v>
      </c>
      <c r="C184" s="2" t="s">
        <v>298</v>
      </c>
      <c r="D184" s="2" t="s">
        <v>11</v>
      </c>
      <c r="E184" s="2" t="s">
        <v>299</v>
      </c>
      <c r="F184" s="4" t="str">
        <f>DailyCompletionTable[[#This Row],[TABLE_NAME]]&amp;DailyCompletionTable[[#This Row],[PROCESS_DATE]]</f>
        <v>VIPSVPT2021-01-29</v>
      </c>
      <c r="G184" s="25">
        <f>DATE(LEFT(DailyCompletionTable[[#This Row],[PROCESS_DATE]],4),MID(DailyCompletionTable[[#This Row],[PROCESS_DATE]],6,2),MID(DailyCompletionTable[[#This Row],[PROCESS_DATE]],9,2))</f>
        <v>44225</v>
      </c>
      <c r="H18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44225.090324074074</v>
      </c>
    </row>
    <row r="185" spans="1:8" x14ac:dyDescent="0.3">
      <c r="A185" s="2" t="s">
        <v>8</v>
      </c>
      <c r="B185" s="2" t="s">
        <v>9</v>
      </c>
      <c r="C185" s="2" t="s">
        <v>300</v>
      </c>
      <c r="D185" s="2" t="s">
        <v>11</v>
      </c>
      <c r="E185" s="2" t="s">
        <v>301</v>
      </c>
      <c r="F185" s="4" t="str">
        <f>DailyCompletionTable[[#This Row],[TABLE_NAME]]&amp;DailyCompletionTable[[#This Row],[PROCESS_DATE]]</f>
        <v>VIPTAST2021-01-29</v>
      </c>
      <c r="G185" s="25">
        <f>DATE(LEFT(DailyCompletionTable[[#This Row],[PROCESS_DATE]],4),MID(DailyCompletionTable[[#This Row],[PROCESS_DATE]],6,2),MID(DailyCompletionTable[[#This Row],[PROCESS_DATE]],9,2))</f>
        <v>44225</v>
      </c>
      <c r="H18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44224.970347222225</v>
      </c>
    </row>
    <row r="186" spans="1:8" x14ac:dyDescent="0.3">
      <c r="A186" s="2" t="s">
        <v>8</v>
      </c>
      <c r="B186" s="2" t="s">
        <v>9</v>
      </c>
      <c r="C186" s="2" t="s">
        <v>302</v>
      </c>
      <c r="D186" s="2" t="s">
        <v>11</v>
      </c>
      <c r="E186" s="2" t="s">
        <v>303</v>
      </c>
      <c r="F186" s="4" t="str">
        <f>DailyCompletionTable[[#This Row],[TABLE_NAME]]&amp;DailyCompletionTable[[#This Row],[PROCESS_DATE]]</f>
        <v>VIPTAXT2021-01-29</v>
      </c>
      <c r="G186" s="25">
        <f>DATE(LEFT(DailyCompletionTable[[#This Row],[PROCESS_DATE]],4),MID(DailyCompletionTable[[#This Row],[PROCESS_DATE]],6,2),MID(DailyCompletionTable[[#This Row],[PROCESS_DATE]],9,2))</f>
        <v>44225</v>
      </c>
      <c r="H18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44224.946226851855</v>
      </c>
    </row>
    <row r="187" spans="1:8" x14ac:dyDescent="0.3">
      <c r="A187" s="2" t="s">
        <v>8</v>
      </c>
      <c r="B187" s="2" t="s">
        <v>9</v>
      </c>
      <c r="C187" s="2" t="s">
        <v>304</v>
      </c>
      <c r="D187" s="2" t="s">
        <v>11</v>
      </c>
      <c r="E187" s="2" t="s">
        <v>305</v>
      </c>
      <c r="F187" s="4" t="str">
        <f>DailyCompletionTable[[#This Row],[TABLE_NAME]]&amp;DailyCompletionTable[[#This Row],[PROCESS_DATE]]</f>
        <v>VIPTBRT2021-01-29</v>
      </c>
      <c r="G187" s="25">
        <f>DATE(LEFT(DailyCompletionTable[[#This Row],[PROCESS_DATE]],4),MID(DailyCompletionTable[[#This Row],[PROCESS_DATE]],6,2),MID(DailyCompletionTable[[#This Row],[PROCESS_DATE]],9,2))</f>
        <v>44225</v>
      </c>
      <c r="H18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44224.970243055555</v>
      </c>
    </row>
    <row r="188" spans="1:8" x14ac:dyDescent="0.3">
      <c r="A188" s="2" t="s">
        <v>8</v>
      </c>
      <c r="B188" s="2" t="s">
        <v>9</v>
      </c>
      <c r="C188" s="2" t="s">
        <v>306</v>
      </c>
      <c r="D188" s="2" t="s">
        <v>11</v>
      </c>
      <c r="E188" s="2" t="s">
        <v>307</v>
      </c>
      <c r="F188" s="4" t="str">
        <f>DailyCompletionTable[[#This Row],[TABLE_NAME]]&amp;DailyCompletionTable[[#This Row],[PROCESS_DATE]]</f>
        <v>VIPTBUT2021-01-29</v>
      </c>
      <c r="G188" s="25">
        <f>DATE(LEFT(DailyCompletionTable[[#This Row],[PROCESS_DATE]],4),MID(DailyCompletionTable[[#This Row],[PROCESS_DATE]],6,2),MID(DailyCompletionTable[[#This Row],[PROCESS_DATE]],9,2))</f>
        <v>44225</v>
      </c>
      <c r="H18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44224.970219907409</v>
      </c>
    </row>
    <row r="189" spans="1:8" x14ac:dyDescent="0.3">
      <c r="A189" s="2" t="s">
        <v>8</v>
      </c>
      <c r="B189" s="2" t="s">
        <v>9</v>
      </c>
      <c r="C189" s="2" t="s">
        <v>308</v>
      </c>
      <c r="D189" s="2" t="s">
        <v>11</v>
      </c>
      <c r="E189" s="2" t="s">
        <v>309</v>
      </c>
      <c r="F189" s="4" t="str">
        <f>DailyCompletionTable[[#This Row],[TABLE_NAME]]&amp;DailyCompletionTable[[#This Row],[PROCESS_DATE]]</f>
        <v>VIPTCCT2021-01-29</v>
      </c>
      <c r="G189" s="25">
        <f>DATE(LEFT(DailyCompletionTable[[#This Row],[PROCESS_DATE]],4),MID(DailyCompletionTable[[#This Row],[PROCESS_DATE]],6,2),MID(DailyCompletionTable[[#This Row],[PROCESS_DATE]],9,2))</f>
        <v>44225</v>
      </c>
      <c r="H18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44224.970034722224</v>
      </c>
    </row>
    <row r="190" spans="1:8" x14ac:dyDescent="0.3">
      <c r="A190" s="2" t="s">
        <v>8</v>
      </c>
      <c r="B190" s="2" t="s">
        <v>9</v>
      </c>
      <c r="C190" s="2" t="s">
        <v>310</v>
      </c>
      <c r="D190" s="2" t="s">
        <v>11</v>
      </c>
      <c r="E190" s="2" t="s">
        <v>311</v>
      </c>
      <c r="F190" s="4" t="str">
        <f>DailyCompletionTable[[#This Row],[TABLE_NAME]]&amp;DailyCompletionTable[[#This Row],[PROCESS_DATE]]</f>
        <v>VIPTCNT2021-01-29</v>
      </c>
      <c r="G190" s="25">
        <f>DATE(LEFT(DailyCompletionTable[[#This Row],[PROCESS_DATE]],4),MID(DailyCompletionTable[[#This Row],[PROCESS_DATE]],6,2),MID(DailyCompletionTable[[#This Row],[PROCESS_DATE]],9,2))</f>
        <v>44225</v>
      </c>
      <c r="H19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44224.970023148147</v>
      </c>
    </row>
    <row r="191" spans="1:8" x14ac:dyDescent="0.3">
      <c r="A191" s="2" t="s">
        <v>8</v>
      </c>
      <c r="B191" s="2" t="s">
        <v>9</v>
      </c>
      <c r="C191" s="2" t="s">
        <v>312</v>
      </c>
      <c r="D191" s="2" t="s">
        <v>11</v>
      </c>
      <c r="E191" s="2" t="s">
        <v>313</v>
      </c>
      <c r="F191" s="4" t="str">
        <f>DailyCompletionTable[[#This Row],[TABLE_NAME]]&amp;DailyCompletionTable[[#This Row],[PROCESS_DATE]]</f>
        <v>VIPTCST2021-01-29</v>
      </c>
      <c r="G191" s="25">
        <f>DATE(LEFT(DailyCompletionTable[[#This Row],[PROCESS_DATE]],4),MID(DailyCompletionTable[[#This Row],[PROCESS_DATE]],6,2),MID(DailyCompletionTable[[#This Row],[PROCESS_DATE]],9,2))</f>
        <v>44225</v>
      </c>
      <c r="H19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44224.969930555555</v>
      </c>
    </row>
    <row r="192" spans="1:8" x14ac:dyDescent="0.3">
      <c r="A192" s="2" t="s">
        <v>8</v>
      </c>
      <c r="B192" s="2" t="s">
        <v>9</v>
      </c>
      <c r="C192" s="2" t="s">
        <v>314</v>
      </c>
      <c r="D192" s="2" t="s">
        <v>11</v>
      </c>
      <c r="E192" s="2" t="s">
        <v>315</v>
      </c>
      <c r="F192" s="4" t="str">
        <f>DailyCompletionTable[[#This Row],[TABLE_NAME]]&amp;DailyCompletionTable[[#This Row],[PROCESS_DATE]]</f>
        <v>VIPTDFT2021-01-29</v>
      </c>
      <c r="G192" s="25">
        <f>DATE(LEFT(DailyCompletionTable[[#This Row],[PROCESS_DATE]],4),MID(DailyCompletionTable[[#This Row],[PROCESS_DATE]],6,2),MID(DailyCompletionTable[[#This Row],[PROCESS_DATE]],9,2))</f>
        <v>44225</v>
      </c>
      <c r="H19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44224.970231481479</v>
      </c>
    </row>
    <row r="193" spans="1:8" x14ac:dyDescent="0.3">
      <c r="A193" s="2" t="s">
        <v>8</v>
      </c>
      <c r="B193" s="2" t="s">
        <v>9</v>
      </c>
      <c r="C193" s="2" t="s">
        <v>316</v>
      </c>
      <c r="D193" s="2" t="s">
        <v>11</v>
      </c>
      <c r="E193" s="2" t="s">
        <v>317</v>
      </c>
      <c r="F193" s="4" t="str">
        <f>DailyCompletionTable[[#This Row],[TABLE_NAME]]&amp;DailyCompletionTable[[#This Row],[PROCESS_DATE]]</f>
        <v>VIPTDRT2021-01-29</v>
      </c>
      <c r="G193" s="25">
        <f>DATE(LEFT(DailyCompletionTable[[#This Row],[PROCESS_DATE]],4),MID(DailyCompletionTable[[#This Row],[PROCESS_DATE]],6,2),MID(DailyCompletionTable[[#This Row],[PROCESS_DATE]],9,2))</f>
        <v>44225</v>
      </c>
      <c r="H19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44224.969664351855</v>
      </c>
    </row>
    <row r="194" spans="1:8" x14ac:dyDescent="0.3">
      <c r="A194" s="2" t="s">
        <v>8</v>
      </c>
      <c r="B194" s="2" t="s">
        <v>9</v>
      </c>
      <c r="C194" s="2" t="s">
        <v>318</v>
      </c>
      <c r="D194" s="2" t="s">
        <v>11</v>
      </c>
      <c r="E194" s="2" t="s">
        <v>319</v>
      </c>
      <c r="F194" s="4" t="str">
        <f>DailyCompletionTable[[#This Row],[TABLE_NAME]]&amp;DailyCompletionTable[[#This Row],[PROCESS_DATE]]</f>
        <v>VIPTECT2021-01-29</v>
      </c>
      <c r="G194" s="25">
        <f>DATE(LEFT(DailyCompletionTable[[#This Row],[PROCESS_DATE]],4),MID(DailyCompletionTable[[#This Row],[PROCESS_DATE]],6,2),MID(DailyCompletionTable[[#This Row],[PROCESS_DATE]],9,2))</f>
        <v>44225</v>
      </c>
      <c r="H19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44224.969826388886</v>
      </c>
    </row>
    <row r="195" spans="1:8" x14ac:dyDescent="0.3">
      <c r="A195" s="2" t="s">
        <v>8</v>
      </c>
      <c r="B195" s="2" t="s">
        <v>9</v>
      </c>
      <c r="C195" s="2" t="s">
        <v>320</v>
      </c>
      <c r="D195" s="2" t="s">
        <v>11</v>
      </c>
      <c r="E195" s="2" t="s">
        <v>321</v>
      </c>
      <c r="F195" s="4" t="str">
        <f>DailyCompletionTable[[#This Row],[TABLE_NAME]]&amp;DailyCompletionTable[[#This Row],[PROCESS_DATE]]</f>
        <v>VIPTFCT2021-01-29</v>
      </c>
      <c r="G195" s="25">
        <f>DATE(LEFT(DailyCompletionTable[[#This Row],[PROCESS_DATE]],4),MID(DailyCompletionTable[[#This Row],[PROCESS_DATE]],6,2),MID(DailyCompletionTable[[#This Row],[PROCESS_DATE]],9,2))</f>
        <v>44225</v>
      </c>
      <c r="H19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44224.973611111112</v>
      </c>
    </row>
    <row r="196" spans="1:8" x14ac:dyDescent="0.3">
      <c r="A196" s="2" t="s">
        <v>8</v>
      </c>
      <c r="B196" s="2" t="s">
        <v>9</v>
      </c>
      <c r="C196" s="2" t="s">
        <v>322</v>
      </c>
      <c r="D196" s="2" t="s">
        <v>11</v>
      </c>
      <c r="E196" s="2" t="s">
        <v>323</v>
      </c>
      <c r="F196" s="4" t="str">
        <f>DailyCompletionTable[[#This Row],[TABLE_NAME]]&amp;DailyCompletionTable[[#This Row],[PROCESS_DATE]]</f>
        <v>VIPTHDT2021-01-29</v>
      </c>
      <c r="G196" s="25">
        <f>DATE(LEFT(DailyCompletionTable[[#This Row],[PROCESS_DATE]],4),MID(DailyCompletionTable[[#This Row],[PROCESS_DATE]],6,2),MID(DailyCompletionTable[[#This Row],[PROCESS_DATE]],9,2))</f>
        <v>44225</v>
      </c>
      <c r="H19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44224.969722222224</v>
      </c>
    </row>
    <row r="197" spans="1:8" x14ac:dyDescent="0.3">
      <c r="A197" s="2" t="s">
        <v>8</v>
      </c>
      <c r="B197" s="2" t="s">
        <v>9</v>
      </c>
      <c r="C197" s="2" t="s">
        <v>324</v>
      </c>
      <c r="D197" s="2" t="s">
        <v>11</v>
      </c>
      <c r="E197" s="2" t="s">
        <v>325</v>
      </c>
      <c r="F197" s="4" t="str">
        <f>DailyCompletionTable[[#This Row],[TABLE_NAME]]&amp;DailyCompletionTable[[#This Row],[PROCESS_DATE]]</f>
        <v>VIPTHRT2021-01-29</v>
      </c>
      <c r="G197" s="25">
        <f>DATE(LEFT(DailyCompletionTable[[#This Row],[PROCESS_DATE]],4),MID(DailyCompletionTable[[#This Row],[PROCESS_DATE]],6,2),MID(DailyCompletionTable[[#This Row],[PROCESS_DATE]],9,2))</f>
        <v>44225</v>
      </c>
      <c r="H19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44224.970069444447</v>
      </c>
    </row>
    <row r="198" spans="1:8" x14ac:dyDescent="0.3">
      <c r="A198" s="2" t="s">
        <v>8</v>
      </c>
      <c r="B198" s="2" t="s">
        <v>9</v>
      </c>
      <c r="C198" s="2" t="s">
        <v>326</v>
      </c>
      <c r="D198" s="2" t="s">
        <v>11</v>
      </c>
      <c r="E198" s="2" t="s">
        <v>323</v>
      </c>
      <c r="F198" s="4" t="str">
        <f>DailyCompletionTable[[#This Row],[TABLE_NAME]]&amp;DailyCompletionTable[[#This Row],[PROCESS_DATE]]</f>
        <v>VIPTHVT2021-01-29</v>
      </c>
      <c r="G198" s="25">
        <f>DATE(LEFT(DailyCompletionTable[[#This Row],[PROCESS_DATE]],4),MID(DailyCompletionTable[[#This Row],[PROCESS_DATE]],6,2),MID(DailyCompletionTable[[#This Row],[PROCESS_DATE]],9,2))</f>
        <v>44225</v>
      </c>
      <c r="H19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44224.969722222224</v>
      </c>
    </row>
    <row r="199" spans="1:8" x14ac:dyDescent="0.3">
      <c r="A199" s="2" t="s">
        <v>8</v>
      </c>
      <c r="B199" s="2" t="s">
        <v>9</v>
      </c>
      <c r="C199" s="2" t="s">
        <v>327</v>
      </c>
      <c r="D199" s="2" t="s">
        <v>11</v>
      </c>
      <c r="E199" s="2" t="s">
        <v>328</v>
      </c>
      <c r="F199" s="4" t="str">
        <f>DailyCompletionTable[[#This Row],[TABLE_NAME]]&amp;DailyCompletionTable[[#This Row],[PROCESS_DATE]]</f>
        <v>VIPTLDT2021-01-29</v>
      </c>
      <c r="G199" s="25">
        <f>DATE(LEFT(DailyCompletionTable[[#This Row],[PROCESS_DATE]],4),MID(DailyCompletionTable[[#This Row],[PROCESS_DATE]],6,2),MID(DailyCompletionTable[[#This Row],[PROCESS_DATE]],9,2))</f>
        <v>44225</v>
      </c>
      <c r="H19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44224.969918981478</v>
      </c>
    </row>
    <row r="200" spans="1:8" x14ac:dyDescent="0.3">
      <c r="A200" s="2" t="s">
        <v>8</v>
      </c>
      <c r="B200" s="2" t="s">
        <v>9</v>
      </c>
      <c r="C200" s="2" t="s">
        <v>329</v>
      </c>
      <c r="D200" s="2" t="s">
        <v>11</v>
      </c>
      <c r="E200" s="2" t="s">
        <v>330</v>
      </c>
      <c r="F200" s="4" t="str">
        <f>DailyCompletionTable[[#This Row],[TABLE_NAME]]&amp;DailyCompletionTable[[#This Row],[PROCESS_DATE]]</f>
        <v>VIPTLST2021-01-29</v>
      </c>
      <c r="G200" s="25">
        <f>DATE(LEFT(DailyCompletionTable[[#This Row],[PROCESS_DATE]],4),MID(DailyCompletionTable[[#This Row],[PROCESS_DATE]],6,2),MID(DailyCompletionTable[[#This Row],[PROCESS_DATE]],9,2))</f>
        <v>44225</v>
      </c>
      <c r="H20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44224.970138888886</v>
      </c>
    </row>
    <row r="201" spans="1:8" x14ac:dyDescent="0.3">
      <c r="A201" s="2" t="s">
        <v>8</v>
      </c>
      <c r="B201" s="2" t="s">
        <v>9</v>
      </c>
      <c r="C201" s="2" t="s">
        <v>331</v>
      </c>
      <c r="D201" s="2" t="s">
        <v>11</v>
      </c>
      <c r="E201" s="2" t="s">
        <v>325</v>
      </c>
      <c r="F201" s="4" t="str">
        <f>DailyCompletionTable[[#This Row],[TABLE_NAME]]&amp;DailyCompletionTable[[#This Row],[PROCESS_DATE]]</f>
        <v>VIPTPBT2021-01-29</v>
      </c>
      <c r="G201" s="25">
        <f>DATE(LEFT(DailyCompletionTable[[#This Row],[PROCESS_DATE]],4),MID(DailyCompletionTable[[#This Row],[PROCESS_DATE]],6,2),MID(DailyCompletionTable[[#This Row],[PROCESS_DATE]],9,2))</f>
        <v>44225</v>
      </c>
      <c r="H20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44224.970069444447</v>
      </c>
    </row>
    <row r="202" spans="1:8" x14ac:dyDescent="0.3">
      <c r="A202" s="2" t="s">
        <v>8</v>
      </c>
      <c r="B202" s="2" t="s">
        <v>9</v>
      </c>
      <c r="C202" s="2" t="s">
        <v>332</v>
      </c>
      <c r="D202" s="2" t="s">
        <v>11</v>
      </c>
      <c r="E202" s="2" t="s">
        <v>333</v>
      </c>
      <c r="F202" s="4" t="str">
        <f>DailyCompletionTable[[#This Row],[TABLE_NAME]]&amp;DailyCompletionTable[[#This Row],[PROCESS_DATE]]</f>
        <v>VIPTPMT2021-01-29</v>
      </c>
      <c r="G202" s="25">
        <f>DATE(LEFT(DailyCompletionTable[[#This Row],[PROCESS_DATE]],4),MID(DailyCompletionTable[[#This Row],[PROCESS_DATE]],6,2),MID(DailyCompletionTable[[#This Row],[PROCESS_DATE]],9,2))</f>
        <v>44225</v>
      </c>
      <c r="H20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44224.969837962963</v>
      </c>
    </row>
    <row r="203" spans="1:8" x14ac:dyDescent="0.3">
      <c r="A203" s="2" t="s">
        <v>8</v>
      </c>
      <c r="B203" s="2" t="s">
        <v>9</v>
      </c>
      <c r="C203" s="2" t="s">
        <v>334</v>
      </c>
      <c r="D203" s="2" t="s">
        <v>11</v>
      </c>
      <c r="E203" s="2" t="s">
        <v>335</v>
      </c>
      <c r="F203" s="4" t="str">
        <f>DailyCompletionTable[[#This Row],[TABLE_NAME]]&amp;DailyCompletionTable[[#This Row],[PROCESS_DATE]]</f>
        <v>VIPTPRT2021-01-29</v>
      </c>
      <c r="G203" s="25">
        <f>DATE(LEFT(DailyCompletionTable[[#This Row],[PROCESS_DATE]],4),MID(DailyCompletionTable[[#This Row],[PROCESS_DATE]],6,2),MID(DailyCompletionTable[[#This Row],[PROCESS_DATE]],9,2))</f>
        <v>44225</v>
      </c>
      <c r="H20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44224.969953703701</v>
      </c>
    </row>
    <row r="204" spans="1:8" x14ac:dyDescent="0.3">
      <c r="A204" s="2" t="s">
        <v>8</v>
      </c>
      <c r="B204" s="2" t="s">
        <v>9</v>
      </c>
      <c r="C204" s="2" t="s">
        <v>336</v>
      </c>
      <c r="D204" s="2" t="s">
        <v>11</v>
      </c>
      <c r="E204" s="2" t="s">
        <v>337</v>
      </c>
      <c r="F204" s="4" t="str">
        <f>DailyCompletionTable[[#This Row],[TABLE_NAME]]&amp;DailyCompletionTable[[#This Row],[PROCESS_DATE]]</f>
        <v>VIPTSCT2021-01-29</v>
      </c>
      <c r="G204" s="25">
        <f>DATE(LEFT(DailyCompletionTable[[#This Row],[PROCESS_DATE]],4),MID(DailyCompletionTable[[#This Row],[PROCESS_DATE]],6,2),MID(DailyCompletionTable[[#This Row],[PROCESS_DATE]],9,2))</f>
        <v>44225</v>
      </c>
      <c r="H20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44224.969768518517</v>
      </c>
    </row>
    <row r="205" spans="1:8" x14ac:dyDescent="0.3">
      <c r="A205" s="2" t="s">
        <v>8</v>
      </c>
      <c r="B205" s="2" t="s">
        <v>9</v>
      </c>
      <c r="C205" s="2" t="s">
        <v>338</v>
      </c>
      <c r="D205" s="2" t="s">
        <v>11</v>
      </c>
      <c r="E205" s="2" t="s">
        <v>339</v>
      </c>
      <c r="F205" s="4" t="str">
        <f>DailyCompletionTable[[#This Row],[TABLE_NAME]]&amp;DailyCompletionTable[[#This Row],[PROCESS_DATE]]</f>
        <v>VIPTSFT2021-01-29</v>
      </c>
      <c r="G205" s="25">
        <f>DATE(LEFT(DailyCompletionTable[[#This Row],[PROCESS_DATE]],4),MID(DailyCompletionTable[[#This Row],[PROCESS_DATE]],6,2),MID(DailyCompletionTable[[#This Row],[PROCESS_DATE]],9,2))</f>
        <v>44225</v>
      </c>
      <c r="H20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44224.970208333332</v>
      </c>
    </row>
    <row r="206" spans="1:8" x14ac:dyDescent="0.3">
      <c r="A206" s="2" t="s">
        <v>8</v>
      </c>
      <c r="B206" s="2" t="s">
        <v>9</v>
      </c>
      <c r="C206" s="2" t="s">
        <v>340</v>
      </c>
      <c r="D206" s="2" t="s">
        <v>11</v>
      </c>
      <c r="E206" s="2" t="s">
        <v>330</v>
      </c>
      <c r="F206" s="4" t="str">
        <f>DailyCompletionTable[[#This Row],[TABLE_NAME]]&amp;DailyCompletionTable[[#This Row],[PROCESS_DATE]]</f>
        <v>VIPTSGT2021-01-29</v>
      </c>
      <c r="G206" s="25">
        <f>DATE(LEFT(DailyCompletionTable[[#This Row],[PROCESS_DATE]],4),MID(DailyCompletionTable[[#This Row],[PROCESS_DATE]],6,2),MID(DailyCompletionTable[[#This Row],[PROCESS_DATE]],9,2))</f>
        <v>44225</v>
      </c>
      <c r="H20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44224.970138888886</v>
      </c>
    </row>
    <row r="207" spans="1:8" x14ac:dyDescent="0.3">
      <c r="A207" s="2" t="s">
        <v>8</v>
      </c>
      <c r="B207" s="2" t="s">
        <v>9</v>
      </c>
      <c r="C207" s="2" t="s">
        <v>341</v>
      </c>
      <c r="D207" s="2" t="s">
        <v>11</v>
      </c>
      <c r="E207" s="2" t="s">
        <v>342</v>
      </c>
      <c r="F207" s="4" t="str">
        <f>DailyCompletionTable[[#This Row],[TABLE_NAME]]&amp;DailyCompletionTable[[#This Row],[PROCESS_DATE]]</f>
        <v>VIPTSHT2021-01-29</v>
      </c>
      <c r="G207" s="25">
        <f>DATE(LEFT(DailyCompletionTable[[#This Row],[PROCESS_DATE]],4),MID(DailyCompletionTable[[#This Row],[PROCESS_DATE]],6,2),MID(DailyCompletionTable[[#This Row],[PROCESS_DATE]],9,2))</f>
        <v>44225</v>
      </c>
      <c r="H20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208" spans="1:8" x14ac:dyDescent="0.3">
      <c r="A208" s="2" t="s">
        <v>8</v>
      </c>
      <c r="B208" s="2" t="s">
        <v>9</v>
      </c>
      <c r="C208" s="2" t="s">
        <v>343</v>
      </c>
      <c r="D208" s="2" t="s">
        <v>11</v>
      </c>
      <c r="E208" s="2" t="s">
        <v>344</v>
      </c>
      <c r="F208" s="4" t="str">
        <f>DailyCompletionTable[[#This Row],[TABLE_NAME]]&amp;DailyCompletionTable[[#This Row],[PROCESS_DATE]]</f>
        <v>VIPTSKT2021-01-29</v>
      </c>
      <c r="G208" s="25">
        <f>DATE(LEFT(DailyCompletionTable[[#This Row],[PROCESS_DATE]],4),MID(DailyCompletionTable[[#This Row],[PROCESS_DATE]],6,2),MID(DailyCompletionTable[[#This Row],[PROCESS_DATE]],9,2))</f>
        <v>44225</v>
      </c>
      <c r="H20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44224.970150462963</v>
      </c>
    </row>
    <row r="209" spans="1:8" x14ac:dyDescent="0.3">
      <c r="A209" s="2" t="s">
        <v>8</v>
      </c>
      <c r="B209" s="2" t="s">
        <v>9</v>
      </c>
      <c r="C209" s="2" t="s">
        <v>345</v>
      </c>
      <c r="D209" s="2" t="s">
        <v>11</v>
      </c>
      <c r="E209" s="2" t="s">
        <v>346</v>
      </c>
      <c r="F209" s="4" t="str">
        <f>DailyCompletionTable[[#This Row],[TABLE_NAME]]&amp;DailyCompletionTable[[#This Row],[PROCESS_DATE]]</f>
        <v>VIPTSLT2021-01-29</v>
      </c>
      <c r="G209" s="25">
        <f>DATE(LEFT(DailyCompletionTable[[#This Row],[PROCESS_DATE]],4),MID(DailyCompletionTable[[#This Row],[PROCESS_DATE]],6,2),MID(DailyCompletionTable[[#This Row],[PROCESS_DATE]],9,2))</f>
        <v>44225</v>
      </c>
      <c r="H20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44224.970300925925</v>
      </c>
    </row>
    <row r="210" spans="1:8" x14ac:dyDescent="0.3">
      <c r="A210" s="2" t="s">
        <v>8</v>
      </c>
      <c r="B210" s="2" t="s">
        <v>9</v>
      </c>
      <c r="C210" s="2" t="s">
        <v>347</v>
      </c>
      <c r="D210" s="2" t="s">
        <v>11</v>
      </c>
      <c r="E210" s="2" t="s">
        <v>348</v>
      </c>
      <c r="F210" s="4" t="str">
        <f>DailyCompletionTable[[#This Row],[TABLE_NAME]]&amp;DailyCompletionTable[[#This Row],[PROCESS_DATE]]</f>
        <v>VIPTSRT2021-01-29</v>
      </c>
      <c r="G210" s="25">
        <f>DATE(LEFT(DailyCompletionTable[[#This Row],[PROCESS_DATE]],4),MID(DailyCompletionTable[[#This Row],[PROCESS_DATE]],6,2),MID(DailyCompletionTable[[#This Row],[PROCESS_DATE]],9,2))</f>
        <v>44225</v>
      </c>
      <c r="H21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44224.969756944447</v>
      </c>
    </row>
    <row r="211" spans="1:8" x14ac:dyDescent="0.3">
      <c r="A211" s="2" t="s">
        <v>8</v>
      </c>
      <c r="B211" s="2" t="s">
        <v>9</v>
      </c>
      <c r="C211" s="2" t="s">
        <v>349</v>
      </c>
      <c r="D211" s="2" t="s">
        <v>11</v>
      </c>
      <c r="E211" s="2" t="s">
        <v>342</v>
      </c>
      <c r="F211" s="4" t="str">
        <f>DailyCompletionTable[[#This Row],[TABLE_NAME]]&amp;DailyCompletionTable[[#This Row],[PROCESS_DATE]]</f>
        <v>VIPTSST2021-01-29</v>
      </c>
      <c r="G211" s="25">
        <f>DATE(LEFT(DailyCompletionTable[[#This Row],[PROCESS_DATE]],4),MID(DailyCompletionTable[[#This Row],[PROCESS_DATE]],6,2),MID(DailyCompletionTable[[#This Row],[PROCESS_DATE]],9,2))</f>
        <v>44225</v>
      </c>
      <c r="H211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212" spans="1:8" x14ac:dyDescent="0.3">
      <c r="A212" s="2" t="s">
        <v>8</v>
      </c>
      <c r="B212" s="2" t="s">
        <v>9</v>
      </c>
      <c r="C212" s="2" t="s">
        <v>350</v>
      </c>
      <c r="D212" s="2" t="s">
        <v>11</v>
      </c>
      <c r="E212" s="2" t="s">
        <v>351</v>
      </c>
      <c r="F212" s="4" t="str">
        <f>DailyCompletionTable[[#This Row],[TABLE_NAME]]&amp;DailyCompletionTable[[#This Row],[PROCESS_DATE]]</f>
        <v>VIPTSTT2021-01-29</v>
      </c>
      <c r="G212" s="25">
        <f>DATE(LEFT(DailyCompletionTable[[#This Row],[PROCESS_DATE]],4),MID(DailyCompletionTable[[#This Row],[PROCESS_DATE]],6,2),MID(DailyCompletionTable[[#This Row],[PROCESS_DATE]],9,2))</f>
        <v>44225</v>
      </c>
      <c r="H212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44224.975694444445</v>
      </c>
    </row>
    <row r="213" spans="1:8" x14ac:dyDescent="0.3">
      <c r="A213" s="2" t="s">
        <v>8</v>
      </c>
      <c r="B213" s="2" t="s">
        <v>9</v>
      </c>
      <c r="C213" s="2" t="s">
        <v>352</v>
      </c>
      <c r="D213" s="2" t="s">
        <v>11</v>
      </c>
      <c r="E213" s="2" t="s">
        <v>353</v>
      </c>
      <c r="F213" s="4" t="str">
        <f>DailyCompletionTable[[#This Row],[TABLE_NAME]]&amp;DailyCompletionTable[[#This Row],[PROCESS_DATE]]</f>
        <v>VIPTTLT2021-01-29</v>
      </c>
      <c r="G213" s="25">
        <f>DATE(LEFT(DailyCompletionTable[[#This Row],[PROCESS_DATE]],4),MID(DailyCompletionTable[[#This Row],[PROCESS_DATE]],6,2),MID(DailyCompletionTable[[#This Row],[PROCESS_DATE]],9,2))</f>
        <v>44225</v>
      </c>
      <c r="H213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44224.96974537037</v>
      </c>
    </row>
    <row r="214" spans="1:8" x14ac:dyDescent="0.3">
      <c r="A214" s="2" t="s">
        <v>8</v>
      </c>
      <c r="B214" s="2" t="s">
        <v>9</v>
      </c>
      <c r="C214" s="2" t="s">
        <v>354</v>
      </c>
      <c r="D214" s="2" t="s">
        <v>11</v>
      </c>
      <c r="E214" s="2" t="s">
        <v>342</v>
      </c>
      <c r="F214" s="4" t="str">
        <f>DailyCompletionTable[[#This Row],[TABLE_NAME]]&amp;DailyCompletionTable[[#This Row],[PROCESS_DATE]]</f>
        <v>VIPTUPT2021-01-29</v>
      </c>
      <c r="G214" s="25">
        <f>DATE(LEFT(DailyCompletionTable[[#This Row],[PROCESS_DATE]],4),MID(DailyCompletionTable[[#This Row],[PROCESS_DATE]],6,2),MID(DailyCompletionTable[[#This Row],[PROCESS_DATE]],9,2))</f>
        <v>44225</v>
      </c>
      <c r="H214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215" spans="1:8" x14ac:dyDescent="0.3">
      <c r="A215" s="2" t="s">
        <v>8</v>
      </c>
      <c r="B215" s="2" t="s">
        <v>9</v>
      </c>
      <c r="C215" s="2" t="s">
        <v>355</v>
      </c>
      <c r="D215" s="2" t="s">
        <v>11</v>
      </c>
      <c r="E215" s="2" t="s">
        <v>356</v>
      </c>
      <c r="F215" s="4" t="str">
        <f>DailyCompletionTable[[#This Row],[TABLE_NAME]]&amp;DailyCompletionTable[[#This Row],[PROCESS_DATE]]</f>
        <v>VIPTUST2021-01-29</v>
      </c>
      <c r="G215" s="25">
        <f>DATE(LEFT(DailyCompletionTable[[#This Row],[PROCESS_DATE]],4),MID(DailyCompletionTable[[#This Row],[PROCESS_DATE]],6,2),MID(DailyCompletionTable[[#This Row],[PROCESS_DATE]],9,2))</f>
        <v>44225</v>
      </c>
      <c r="H215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44224.92428240741</v>
      </c>
    </row>
    <row r="216" spans="1:8" x14ac:dyDescent="0.3">
      <c r="A216" s="2" t="s">
        <v>8</v>
      </c>
      <c r="B216" s="2" t="s">
        <v>9</v>
      </c>
      <c r="C216" s="2" t="s">
        <v>357</v>
      </c>
      <c r="D216" s="2" t="s">
        <v>11</v>
      </c>
      <c r="E216" s="2" t="s">
        <v>358</v>
      </c>
      <c r="F216" s="4" t="str">
        <f>DailyCompletionTable[[#This Row],[TABLE_NAME]]&amp;DailyCompletionTable[[#This Row],[PROCESS_DATE]]</f>
        <v>VIPTX1T2021-01-29</v>
      </c>
      <c r="G216" s="25">
        <f>DATE(LEFT(DailyCompletionTable[[#This Row],[PROCESS_DATE]],4),MID(DailyCompletionTable[[#This Row],[PROCESS_DATE]],6,2),MID(DailyCompletionTable[[#This Row],[PROCESS_DATE]],9,2))</f>
        <v>44225</v>
      </c>
      <c r="H216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44224.924456018518</v>
      </c>
    </row>
    <row r="217" spans="1:8" x14ac:dyDescent="0.3">
      <c r="A217" s="2" t="s">
        <v>8</v>
      </c>
      <c r="B217" s="2" t="s">
        <v>9</v>
      </c>
      <c r="C217" s="2" t="s">
        <v>359</v>
      </c>
      <c r="D217" s="2" t="s">
        <v>11</v>
      </c>
      <c r="E217" s="2" t="s">
        <v>360</v>
      </c>
      <c r="F217" s="4" t="str">
        <f>DailyCompletionTable[[#This Row],[TABLE_NAME]]&amp;DailyCompletionTable[[#This Row],[PROCESS_DATE]]</f>
        <v>VIPTXMT2021-01-29</v>
      </c>
      <c r="G217" s="25">
        <f>DATE(LEFT(DailyCompletionTable[[#This Row],[PROCESS_DATE]],4),MID(DailyCompletionTable[[#This Row],[PROCESS_DATE]],6,2),MID(DailyCompletionTable[[#This Row],[PROCESS_DATE]],9,2))</f>
        <v>44225</v>
      </c>
      <c r="H217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44224.855428240742</v>
      </c>
    </row>
    <row r="218" spans="1:8" x14ac:dyDescent="0.3">
      <c r="A218" s="2" t="s">
        <v>8</v>
      </c>
      <c r="B218" s="2" t="s">
        <v>9</v>
      </c>
      <c r="C218" s="2" t="s">
        <v>361</v>
      </c>
      <c r="D218" s="2" t="s">
        <v>11</v>
      </c>
      <c r="E218" s="2" t="s">
        <v>157</v>
      </c>
      <c r="F218" s="4" t="str">
        <f>DailyCompletionTable[[#This Row],[TABLE_NAME]]&amp;DailyCompletionTable[[#This Row],[PROCESS_DATE]]</f>
        <v>VIPTXRT2021-01-29</v>
      </c>
      <c r="G218" s="25">
        <f>DATE(LEFT(DailyCompletionTable[[#This Row],[PROCESS_DATE]],4),MID(DailyCompletionTable[[#This Row],[PROCESS_DATE]],6,2),MID(DailyCompletionTable[[#This Row],[PROCESS_DATE]],9,2))</f>
        <v>44225</v>
      </c>
      <c r="H218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44224.855150462965</v>
      </c>
    </row>
    <row r="219" spans="1:8" x14ac:dyDescent="0.3">
      <c r="A219" s="2" t="s">
        <v>8</v>
      </c>
      <c r="B219" s="2" t="s">
        <v>9</v>
      </c>
      <c r="C219" s="2" t="s">
        <v>362</v>
      </c>
      <c r="D219" s="2" t="s">
        <v>11</v>
      </c>
      <c r="E219" s="2" t="s">
        <v>83</v>
      </c>
      <c r="F219" s="4" t="str">
        <f>DailyCompletionTable[[#This Row],[TABLE_NAME]]&amp;DailyCompletionTable[[#This Row],[PROCESS_DATE]]</f>
        <v>VIPTXTT2021-01-29</v>
      </c>
      <c r="G219" s="25">
        <f>DATE(LEFT(DailyCompletionTable[[#This Row],[PROCESS_DATE]],4),MID(DailyCompletionTable[[#This Row],[PROCESS_DATE]],6,2),MID(DailyCompletionTable[[#This Row],[PROCESS_DATE]],9,2))</f>
        <v>44225</v>
      </c>
      <c r="H219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44224.855347222219</v>
      </c>
    </row>
    <row r="220" spans="1:8" x14ac:dyDescent="0.3">
      <c r="A220" s="2" t="s">
        <v>8</v>
      </c>
      <c r="B220" s="2" t="s">
        <v>9</v>
      </c>
      <c r="C220" s="2" t="s">
        <v>363</v>
      </c>
      <c r="D220" s="2" t="s">
        <v>11</v>
      </c>
      <c r="E220" s="2" t="s">
        <v>364</v>
      </c>
      <c r="F220" s="4" t="str">
        <f>DailyCompletionTable[[#This Row],[TABLE_NAME]]&amp;DailyCompletionTable[[#This Row],[PROCESS_DATE]]</f>
        <v>VIPXAAT2021-01-29</v>
      </c>
      <c r="G220" s="25">
        <f>DATE(LEFT(DailyCompletionTable[[#This Row],[PROCESS_DATE]],4),MID(DailyCompletionTable[[#This Row],[PROCESS_DATE]],6,2),MID(DailyCompletionTable[[#This Row],[PROCESS_DATE]],9,2))</f>
        <v>44225</v>
      </c>
      <c r="H220" s="26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44224.877152777779</v>
      </c>
    </row>
    <row r="221" spans="1:8" x14ac:dyDescent="0.3">
      <c r="A221" s="2" t="s">
        <v>8</v>
      </c>
      <c r="B221" s="2" t="s">
        <v>9</v>
      </c>
      <c r="C221" s="2" t="s">
        <v>365</v>
      </c>
      <c r="D221" s="2" t="s">
        <v>11</v>
      </c>
      <c r="E221" s="39" t="s">
        <v>366</v>
      </c>
      <c r="F221" s="40" t="str">
        <f>DailyCompletionTable[[#This Row],[TABLE_NAME]]&amp;DailyCompletionTable[[#This Row],[PROCESS_DATE]]</f>
        <v>VIPXCAT2021-01-29</v>
      </c>
      <c r="G221" s="41">
        <f>DATE(LEFT(DailyCompletionTable[[#This Row],[PROCESS_DATE]],4),MID(DailyCompletionTable[[#This Row],[PROCESS_DATE]],6,2),MID(DailyCompletionTable[[#This Row],[PROCESS_DATE]],9,2))</f>
        <v>44225</v>
      </c>
      <c r="H22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44224.877314814818</v>
      </c>
    </row>
    <row r="222" spans="1:8" x14ac:dyDescent="0.3">
      <c r="A222" s="2" t="s">
        <v>8</v>
      </c>
      <c r="B222" s="2" t="s">
        <v>9</v>
      </c>
      <c r="C222" s="2" t="s">
        <v>367</v>
      </c>
      <c r="D222" s="2" t="s">
        <v>11</v>
      </c>
      <c r="E222" s="39" t="s">
        <v>368</v>
      </c>
      <c r="F222" s="40" t="str">
        <f>DailyCompletionTable[[#This Row],[TABLE_NAME]]&amp;DailyCompletionTable[[#This Row],[PROCESS_DATE]]</f>
        <v>VIPXPMT2021-01-29</v>
      </c>
      <c r="G222" s="41">
        <f>DATE(LEFT(DailyCompletionTable[[#This Row],[PROCESS_DATE]],4),MID(DailyCompletionTable[[#This Row],[PROCESS_DATE]],6,2),MID(DailyCompletionTable[[#This Row],[PROCESS_DATE]],9,2))</f>
        <v>44225</v>
      </c>
      <c r="H22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44224.877187500002</v>
      </c>
    </row>
    <row r="223" spans="1:8" x14ac:dyDescent="0.3">
      <c r="A223" s="2" t="s">
        <v>369</v>
      </c>
      <c r="B223" s="2" t="s">
        <v>9</v>
      </c>
      <c r="C223" s="2" t="s">
        <v>10</v>
      </c>
      <c r="D223" s="2" t="s">
        <v>11</v>
      </c>
      <c r="E223" s="39" t="s">
        <v>370</v>
      </c>
      <c r="F223" s="40" t="str">
        <f>DailyCompletionTable[[#This Row],[TABLE_NAME]]&amp;DailyCompletionTable[[#This Row],[PROCESS_DATE]]</f>
        <v>PAC_ACCOUNT2021-01-29</v>
      </c>
      <c r="G223" s="41">
        <f>DATE(LEFT(DailyCompletionTable[[#This Row],[PROCESS_DATE]],4),MID(DailyCompletionTable[[#This Row],[PROCESS_DATE]],6,2),MID(DailyCompletionTable[[#This Row],[PROCESS_DATE]],9,2))</f>
        <v>44225</v>
      </c>
      <c r="H22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4" spans="1:8" x14ac:dyDescent="0.3">
      <c r="A224" s="2" t="s">
        <v>369</v>
      </c>
      <c r="B224" s="2" t="s">
        <v>9</v>
      </c>
      <c r="C224" s="2" t="s">
        <v>13</v>
      </c>
      <c r="D224" s="2" t="s">
        <v>11</v>
      </c>
      <c r="E224" s="39" t="s">
        <v>370</v>
      </c>
      <c r="F224" s="40" t="str">
        <f>DailyCompletionTable[[#This Row],[TABLE_NAME]]&amp;DailyCompletionTable[[#This Row],[PROCESS_DATE]]</f>
        <v>PAG_AVAIL_GROUP2021-01-29</v>
      </c>
      <c r="G224" s="41">
        <f>DATE(LEFT(DailyCompletionTable[[#This Row],[PROCESS_DATE]],4),MID(DailyCompletionTable[[#This Row],[PROCESS_DATE]],6,2),MID(DailyCompletionTable[[#This Row],[PROCESS_DATE]],9,2))</f>
        <v>44225</v>
      </c>
      <c r="H22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5" spans="1:8" x14ac:dyDescent="0.3">
      <c r="A225" s="2" t="s">
        <v>369</v>
      </c>
      <c r="B225" s="2" t="s">
        <v>9</v>
      </c>
      <c r="C225" s="2" t="s">
        <v>14</v>
      </c>
      <c r="D225" s="2" t="s">
        <v>11</v>
      </c>
      <c r="E225" s="39" t="s">
        <v>370</v>
      </c>
      <c r="F225" s="40" t="str">
        <f>DailyCompletionTable[[#This Row],[TABLE_NAME]]&amp;DailyCompletionTable[[#This Row],[PROCESS_DATE]]</f>
        <v>PAP_AITM_PARM_VAL2021-01-29</v>
      </c>
      <c r="G225" s="41">
        <f>DATE(LEFT(DailyCompletionTable[[#This Row],[PROCESS_DATE]],4),MID(DailyCompletionTable[[#This Row],[PROCESS_DATE]],6,2),MID(DailyCompletionTable[[#This Row],[PROCESS_DATE]],9,2))</f>
        <v>44225</v>
      </c>
      <c r="H22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6" spans="1:8" x14ac:dyDescent="0.3">
      <c r="A226" s="2" t="s">
        <v>369</v>
      </c>
      <c r="B226" s="2" t="s">
        <v>9</v>
      </c>
      <c r="C226" s="2" t="s">
        <v>15</v>
      </c>
      <c r="D226" s="2" t="s">
        <v>11</v>
      </c>
      <c r="E226" s="39" t="s">
        <v>370</v>
      </c>
      <c r="F226" s="40" t="str">
        <f>DailyCompletionTable[[#This Row],[TABLE_NAME]]&amp;DailyCompletionTable[[#This Row],[PROCESS_DATE]]</f>
        <v>PAS_ACCT_SERV_ITM2021-01-29</v>
      </c>
      <c r="G226" s="41">
        <f>DATE(LEFT(DailyCompletionTable[[#This Row],[PROCESS_DATE]],4),MID(DailyCompletionTable[[#This Row],[PROCESS_DATE]],6,2),MID(DailyCompletionTable[[#This Row],[PROCESS_DATE]],9,2))</f>
        <v>44225</v>
      </c>
      <c r="H22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7" spans="1:8" x14ac:dyDescent="0.3">
      <c r="A227" s="2" t="s">
        <v>369</v>
      </c>
      <c r="B227" s="2" t="s">
        <v>9</v>
      </c>
      <c r="C227" s="2" t="s">
        <v>16</v>
      </c>
      <c r="D227" s="2" t="s">
        <v>11</v>
      </c>
      <c r="E227" s="39" t="s">
        <v>370</v>
      </c>
      <c r="F227" s="40" t="str">
        <f>DailyCompletionTable[[#This Row],[TABLE_NAME]]&amp;DailyCompletionTable[[#This Row],[PROCESS_DATE]]</f>
        <v>PAT_AVAIL_CATG2021-01-29</v>
      </c>
      <c r="G227" s="41">
        <f>DATE(LEFT(DailyCompletionTable[[#This Row],[PROCESS_DATE]],4),MID(DailyCompletionTable[[#This Row],[PROCESS_DATE]],6,2),MID(DailyCompletionTable[[#This Row],[PROCESS_DATE]],9,2))</f>
        <v>44225</v>
      </c>
      <c r="H22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8" spans="1:8" x14ac:dyDescent="0.3">
      <c r="A228" s="2" t="s">
        <v>369</v>
      </c>
      <c r="B228" s="2" t="s">
        <v>9</v>
      </c>
      <c r="C228" s="2" t="s">
        <v>17</v>
      </c>
      <c r="D228" s="2" t="s">
        <v>11</v>
      </c>
      <c r="E228" s="39" t="s">
        <v>370</v>
      </c>
      <c r="F228" s="40" t="str">
        <f>DailyCompletionTable[[#This Row],[TABLE_NAME]]&amp;DailyCompletionTable[[#This Row],[PROCESS_DATE]]</f>
        <v>PBK_TN_BLOCK2021-01-29</v>
      </c>
      <c r="G228" s="41">
        <f>DATE(LEFT(DailyCompletionTable[[#This Row],[PROCESS_DATE]],4),MID(DailyCompletionTable[[#This Row],[PROCESS_DATE]],6,2),MID(DailyCompletionTable[[#This Row],[PROCESS_DATE]],9,2))</f>
        <v>44225</v>
      </c>
      <c r="H22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29" spans="1:8" x14ac:dyDescent="0.3">
      <c r="A229" s="2" t="s">
        <v>369</v>
      </c>
      <c r="B229" s="2" t="s">
        <v>9</v>
      </c>
      <c r="C229" s="2" t="s">
        <v>18</v>
      </c>
      <c r="D229" s="2" t="s">
        <v>11</v>
      </c>
      <c r="E229" s="39" t="s">
        <v>19</v>
      </c>
      <c r="F229" s="40" t="str">
        <f>DailyCompletionTable[[#This Row],[TABLE_NAME]]&amp;DailyCompletionTable[[#This Row],[PROCESS_DATE]]</f>
        <v>PC2021-01-29</v>
      </c>
      <c r="G229" s="41">
        <f>DATE(LEFT(DailyCompletionTable[[#This Row],[PROCESS_DATE]],4),MID(DailyCompletionTable[[#This Row],[PROCESS_DATE]],6,2),MID(DailyCompletionTable[[#This Row],[PROCESS_DATE]],9,2))</f>
        <v>44225</v>
      </c>
      <c r="H22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44224.906956018516</v>
      </c>
    </row>
    <row r="230" spans="1:8" x14ac:dyDescent="0.3">
      <c r="A230" s="2" t="s">
        <v>369</v>
      </c>
      <c r="B230" s="2" t="s">
        <v>9</v>
      </c>
      <c r="C230" s="2" t="s">
        <v>20</v>
      </c>
      <c r="D230" s="2" t="s">
        <v>11</v>
      </c>
      <c r="E230" s="39" t="s">
        <v>21</v>
      </c>
      <c r="F230" s="40" t="str">
        <f>DailyCompletionTable[[#This Row],[TABLE_NAME]]&amp;DailyCompletionTable[[#This Row],[PROCESS_DATE]]</f>
        <v>PCA_CATG_ASSC2021-01-29</v>
      </c>
      <c r="G230" s="41">
        <f>DATE(LEFT(DailyCompletionTable[[#This Row],[PROCESS_DATE]],4),MID(DailyCompletionTable[[#This Row],[PROCESS_DATE]],6,2),MID(DailyCompletionTable[[#This Row],[PROCESS_DATE]],9,2))</f>
        <v>44225</v>
      </c>
      <c r="H23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1" spans="1:8" x14ac:dyDescent="0.3">
      <c r="A231" s="2" t="s">
        <v>369</v>
      </c>
      <c r="B231" s="2" t="s">
        <v>9</v>
      </c>
      <c r="C231" s="2" t="s">
        <v>22</v>
      </c>
      <c r="D231" s="2" t="s">
        <v>11</v>
      </c>
      <c r="E231" s="39" t="s">
        <v>370</v>
      </c>
      <c r="F231" s="40" t="str">
        <f>DailyCompletionTable[[#This Row],[TABLE_NAME]]&amp;DailyCompletionTable[[#This Row],[PROCESS_DATE]]</f>
        <v>PCI_CALL_CRD_INV2021-01-29</v>
      </c>
      <c r="G231" s="41">
        <f>DATE(LEFT(DailyCompletionTable[[#This Row],[PROCESS_DATE]],4),MID(DailyCompletionTable[[#This Row],[PROCESS_DATE]],6,2),MID(DailyCompletionTable[[#This Row],[PROCESS_DATE]],9,2))</f>
        <v>44225</v>
      </c>
      <c r="H23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32" spans="1:8" x14ac:dyDescent="0.3">
      <c r="A232" s="2" t="s">
        <v>369</v>
      </c>
      <c r="B232" s="2" t="s">
        <v>9</v>
      </c>
      <c r="C232" s="2" t="s">
        <v>23</v>
      </c>
      <c r="D232" s="2" t="s">
        <v>11</v>
      </c>
      <c r="E232" s="39" t="s">
        <v>21</v>
      </c>
      <c r="F232" s="40" t="str">
        <f>DailyCompletionTable[[#This Row],[TABLE_NAME]]&amp;DailyCompletionTable[[#This Row],[PROCESS_DATE]]</f>
        <v>PCP_CATG_PARM2021-01-29</v>
      </c>
      <c r="G232" s="41">
        <f>DATE(LEFT(DailyCompletionTable[[#This Row],[PROCESS_DATE]],4),MID(DailyCompletionTable[[#This Row],[PROCESS_DATE]],6,2),MID(DailyCompletionTable[[#This Row],[PROCESS_DATE]],9,2))</f>
        <v>44225</v>
      </c>
      <c r="H23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3" spans="1:8" x14ac:dyDescent="0.3">
      <c r="A233" s="2" t="s">
        <v>369</v>
      </c>
      <c r="B233" s="2" t="s">
        <v>9</v>
      </c>
      <c r="C233" s="2" t="s">
        <v>24</v>
      </c>
      <c r="D233" s="2" t="s">
        <v>11</v>
      </c>
      <c r="E233" s="39" t="s">
        <v>370</v>
      </c>
      <c r="F233" s="40" t="str">
        <f>DailyCompletionTable[[#This Row],[TABLE_NAME]]&amp;DailyCompletionTable[[#This Row],[PROCESS_DATE]]</f>
        <v>PCS_CCS_SPA2021-01-29</v>
      </c>
      <c r="G233" s="41">
        <f>DATE(LEFT(DailyCompletionTable[[#This Row],[PROCESS_DATE]],4),MID(DailyCompletionTable[[#This Row],[PROCESS_DATE]],6,2),MID(DailyCompletionTable[[#This Row],[PROCESS_DATE]],9,2))</f>
        <v>44225</v>
      </c>
      <c r="H23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34" spans="1:8" x14ac:dyDescent="0.3">
      <c r="A234" s="2" t="s">
        <v>369</v>
      </c>
      <c r="B234" s="2" t="s">
        <v>9</v>
      </c>
      <c r="C234" s="2" t="s">
        <v>25</v>
      </c>
      <c r="D234" s="2" t="s">
        <v>11</v>
      </c>
      <c r="E234" s="39" t="s">
        <v>21</v>
      </c>
      <c r="F234" s="40" t="str">
        <f>DailyCompletionTable[[#This Row],[TABLE_NAME]]&amp;DailyCompletionTable[[#This Row],[PROCESS_DATE]]</f>
        <v>PCT_CATG_ITM2021-01-29</v>
      </c>
      <c r="G234" s="41">
        <f>DATE(LEFT(DailyCompletionTable[[#This Row],[PROCESS_DATE]],4),MID(DailyCompletionTable[[#This Row],[PROCESS_DATE]],6,2),MID(DailyCompletionTable[[#This Row],[PROCESS_DATE]],9,2))</f>
        <v>44225</v>
      </c>
      <c r="H23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5" spans="1:8" x14ac:dyDescent="0.3">
      <c r="A235" s="2" t="s">
        <v>369</v>
      </c>
      <c r="B235" s="2" t="s">
        <v>9</v>
      </c>
      <c r="C235" s="2" t="s">
        <v>26</v>
      </c>
      <c r="D235" s="2" t="s">
        <v>11</v>
      </c>
      <c r="E235" s="39" t="s">
        <v>21</v>
      </c>
      <c r="F235" s="40" t="str">
        <f>DailyCompletionTable[[#This Row],[TABLE_NAME]]&amp;DailyCompletionTable[[#This Row],[PROCESS_DATE]]</f>
        <v>PEN_EXCEPTION_TN_DETAIL2021-01-29</v>
      </c>
      <c r="G235" s="41">
        <f>DATE(LEFT(DailyCompletionTable[[#This Row],[PROCESS_DATE]],4),MID(DailyCompletionTable[[#This Row],[PROCESS_DATE]],6,2),MID(DailyCompletionTable[[#This Row],[PROCESS_DATE]],9,2))</f>
        <v>44225</v>
      </c>
      <c r="H23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6" spans="1:8" x14ac:dyDescent="0.3">
      <c r="A236" s="2" t="s">
        <v>369</v>
      </c>
      <c r="B236" s="2" t="s">
        <v>9</v>
      </c>
      <c r="C236" s="2" t="s">
        <v>27</v>
      </c>
      <c r="D236" s="2" t="s">
        <v>11</v>
      </c>
      <c r="E236" s="39" t="s">
        <v>21</v>
      </c>
      <c r="F236" s="40" t="str">
        <f>DailyCompletionTable[[#This Row],[TABLE_NAME]]&amp;DailyCompletionTable[[#This Row],[PROCESS_DATE]]</f>
        <v>PFA_FACILITY_ASSOC2021-01-29</v>
      </c>
      <c r="G236" s="41">
        <f>DATE(LEFT(DailyCompletionTable[[#This Row],[PROCESS_DATE]],4),MID(DailyCompletionTable[[#This Row],[PROCESS_DATE]],6,2),MID(DailyCompletionTable[[#This Row],[PROCESS_DATE]],9,2))</f>
        <v>44225</v>
      </c>
      <c r="H23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7" spans="1:8" x14ac:dyDescent="0.3">
      <c r="A237" s="2" t="s">
        <v>369</v>
      </c>
      <c r="B237" s="2" t="s">
        <v>9</v>
      </c>
      <c r="C237" s="2" t="s">
        <v>28</v>
      </c>
      <c r="D237" s="2" t="s">
        <v>11</v>
      </c>
      <c r="E237" s="39" t="s">
        <v>21</v>
      </c>
      <c r="F237" s="40" t="str">
        <f>DailyCompletionTable[[#This Row],[TABLE_NAME]]&amp;DailyCompletionTable[[#This Row],[PROCESS_DATE]]</f>
        <v>PFC_FACILITY2021-01-29</v>
      </c>
      <c r="G237" s="41">
        <f>DATE(LEFT(DailyCompletionTable[[#This Row],[PROCESS_DATE]],4),MID(DailyCompletionTable[[#This Row],[PROCESS_DATE]],6,2),MID(DailyCompletionTable[[#This Row],[PROCESS_DATE]],9,2))</f>
        <v>44225</v>
      </c>
      <c r="H23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8" spans="1:8" x14ac:dyDescent="0.3">
      <c r="A238" s="2" t="s">
        <v>369</v>
      </c>
      <c r="B238" s="2" t="s">
        <v>9</v>
      </c>
      <c r="C238" s="2" t="s">
        <v>29</v>
      </c>
      <c r="D238" s="2" t="s">
        <v>11</v>
      </c>
      <c r="E238" s="39" t="s">
        <v>21</v>
      </c>
      <c r="F238" s="40" t="str">
        <f>DailyCompletionTable[[#This Row],[TABLE_NAME]]&amp;DailyCompletionTable[[#This Row],[PROCESS_DATE]]</f>
        <v>PFD_FIELD_IDENTIFIER2021-01-29</v>
      </c>
      <c r="G238" s="41">
        <f>DATE(LEFT(DailyCompletionTable[[#This Row],[PROCESS_DATE]],4),MID(DailyCompletionTable[[#This Row],[PROCESS_DATE]],6,2),MID(DailyCompletionTable[[#This Row],[PROCESS_DATE]],9,2))</f>
        <v>44225</v>
      </c>
      <c r="H23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39" spans="1:8" x14ac:dyDescent="0.3">
      <c r="A239" s="2" t="s">
        <v>369</v>
      </c>
      <c r="B239" s="2" t="s">
        <v>9</v>
      </c>
      <c r="C239" s="2" t="s">
        <v>30</v>
      </c>
      <c r="D239" s="2" t="s">
        <v>11</v>
      </c>
      <c r="E239" s="39" t="s">
        <v>21</v>
      </c>
      <c r="F239" s="40" t="str">
        <f>DailyCompletionTable[[#This Row],[TABLE_NAME]]&amp;DailyCompletionTable[[#This Row],[PROCESS_DATE]]</f>
        <v>PFT_FACILITY_TYPE2021-01-29</v>
      </c>
      <c r="G239" s="41">
        <f>DATE(LEFT(DailyCompletionTable[[#This Row],[PROCESS_DATE]],4),MID(DailyCompletionTable[[#This Row],[PROCESS_DATE]],6,2),MID(DailyCompletionTable[[#This Row],[PROCESS_DATE]],9,2))</f>
        <v>44225</v>
      </c>
      <c r="H23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40" spans="1:8" x14ac:dyDescent="0.3">
      <c r="A240" s="2" t="s">
        <v>369</v>
      </c>
      <c r="B240" s="2" t="s">
        <v>9</v>
      </c>
      <c r="C240" s="2" t="s">
        <v>31</v>
      </c>
      <c r="D240" s="2" t="s">
        <v>11</v>
      </c>
      <c r="E240" s="39" t="s">
        <v>21</v>
      </c>
      <c r="F240" s="40" t="str">
        <f>DailyCompletionTable[[#This Row],[TABLE_NAME]]&amp;DailyCompletionTable[[#This Row],[PROCESS_DATE]]</f>
        <v>PFV_FACILITY_VALUE2021-01-29</v>
      </c>
      <c r="G240" s="41">
        <f>DATE(LEFT(DailyCompletionTable[[#This Row],[PROCESS_DATE]],4),MID(DailyCompletionTable[[#This Row],[PROCESS_DATE]],6,2),MID(DailyCompletionTable[[#This Row],[PROCESS_DATE]],9,2))</f>
        <v>44225</v>
      </c>
      <c r="H24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41" spans="1:8" x14ac:dyDescent="0.3">
      <c r="A241" s="2" t="s">
        <v>369</v>
      </c>
      <c r="B241" s="2" t="s">
        <v>9</v>
      </c>
      <c r="C241" s="2" t="s">
        <v>32</v>
      </c>
      <c r="D241" s="2" t="s">
        <v>11</v>
      </c>
      <c r="E241" s="39" t="s">
        <v>370</v>
      </c>
      <c r="F241" s="40" t="str">
        <f>DailyCompletionTable[[#This Row],[TABLE_NAME]]&amp;DailyCompletionTable[[#This Row],[PROCESS_DATE]]</f>
        <v>PIG_INV_GROUP2021-01-29</v>
      </c>
      <c r="G241" s="41">
        <f>DATE(LEFT(DailyCompletionTable[[#This Row],[PROCESS_DATE]],4),MID(DailyCompletionTable[[#This Row],[PROCESS_DATE]],6,2),MID(DailyCompletionTable[[#This Row],[PROCESS_DATE]],9,2))</f>
        <v>44225</v>
      </c>
      <c r="H24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42" spans="1:8" x14ac:dyDescent="0.3">
      <c r="A242" s="2" t="s">
        <v>369</v>
      </c>
      <c r="B242" s="2" t="s">
        <v>9</v>
      </c>
      <c r="C242" s="2" t="s">
        <v>33</v>
      </c>
      <c r="D242" s="2" t="s">
        <v>11</v>
      </c>
      <c r="E242" s="39" t="s">
        <v>21</v>
      </c>
      <c r="F242" s="40" t="str">
        <f>DailyCompletionTable[[#This Row],[TABLE_NAME]]&amp;DailyCompletionTable[[#This Row],[PROCESS_DATE]]</f>
        <v>PIN_INVENTORY_TYPE2021-01-29</v>
      </c>
      <c r="G242" s="41">
        <f>DATE(LEFT(DailyCompletionTable[[#This Row],[PROCESS_DATE]],4),MID(DailyCompletionTable[[#This Row],[PROCESS_DATE]],6,2),MID(DailyCompletionTable[[#This Row],[PROCESS_DATE]],9,2))</f>
        <v>44225</v>
      </c>
      <c r="H24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43" spans="1:8" x14ac:dyDescent="0.3">
      <c r="A243" s="2" t="s">
        <v>369</v>
      </c>
      <c r="B243" s="2" t="s">
        <v>9</v>
      </c>
      <c r="C243" s="2" t="s">
        <v>34</v>
      </c>
      <c r="D243" s="2" t="s">
        <v>11</v>
      </c>
      <c r="E243" s="39" t="s">
        <v>370</v>
      </c>
      <c r="F243" s="40" t="str">
        <f>DailyCompletionTable[[#This Row],[TABLE_NAME]]&amp;DailyCompletionTable[[#This Row],[PROCESS_DATE]]</f>
        <v>PJP_JOPS_QUEUE2021-01-29</v>
      </c>
      <c r="G243" s="41">
        <f>DATE(LEFT(DailyCompletionTable[[#This Row],[PROCESS_DATE]],4),MID(DailyCompletionTable[[#This Row],[PROCESS_DATE]],6,2),MID(DailyCompletionTable[[#This Row],[PROCESS_DATE]],9,2))</f>
        <v>44225</v>
      </c>
      <c r="H24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44" spans="1:8" x14ac:dyDescent="0.3">
      <c r="A244" s="2" t="s">
        <v>369</v>
      </c>
      <c r="B244" s="2" t="s">
        <v>9</v>
      </c>
      <c r="C244" s="2" t="s">
        <v>35</v>
      </c>
      <c r="D244" s="2" t="s">
        <v>11</v>
      </c>
      <c r="E244" s="39" t="s">
        <v>370</v>
      </c>
      <c r="F244" s="40" t="str">
        <f>DailyCompletionTable[[#This Row],[TABLE_NAME]]&amp;DailyCompletionTable[[#This Row],[PROCESS_DATE]]</f>
        <v>PMA_MSAG_ADDR2021-01-29</v>
      </c>
      <c r="G244" s="41">
        <f>DATE(LEFT(DailyCompletionTable[[#This Row],[PROCESS_DATE]],4),MID(DailyCompletionTable[[#This Row],[PROCESS_DATE]],6,2),MID(DailyCompletionTable[[#This Row],[PROCESS_DATE]],9,2))</f>
        <v>44225</v>
      </c>
      <c r="H24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45" spans="1:8" x14ac:dyDescent="0.3">
      <c r="A245" s="2" t="s">
        <v>369</v>
      </c>
      <c r="B245" s="2" t="s">
        <v>9</v>
      </c>
      <c r="C245" s="2" t="s">
        <v>36</v>
      </c>
      <c r="D245" s="2" t="s">
        <v>11</v>
      </c>
      <c r="E245" s="39" t="s">
        <v>371</v>
      </c>
      <c r="F245" s="40" t="str">
        <f>DailyCompletionTable[[#This Row],[TABLE_NAME]]&amp;DailyCompletionTable[[#This Row],[PROCESS_DATE]]</f>
        <v>POI_ORD_LINE_ITM2021-01-29</v>
      </c>
      <c r="G245" s="41">
        <f>DATE(LEFT(DailyCompletionTable[[#This Row],[PROCESS_DATE]],4),MID(DailyCompletionTable[[#This Row],[PROCESS_DATE]],6,2),MID(DailyCompletionTable[[#This Row],[PROCESS_DATE]],9,2))</f>
        <v>44225</v>
      </c>
      <c r="H24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44224.910324074073</v>
      </c>
    </row>
    <row r="246" spans="1:8" x14ac:dyDescent="0.3">
      <c r="A246" s="2" t="s">
        <v>369</v>
      </c>
      <c r="B246" s="2" t="s">
        <v>9</v>
      </c>
      <c r="C246" s="2" t="s">
        <v>38</v>
      </c>
      <c r="D246" s="2" t="s">
        <v>11</v>
      </c>
      <c r="E246" s="39" t="s">
        <v>370</v>
      </c>
      <c r="F246" s="40" t="str">
        <f>DailyCompletionTable[[#This Row],[TABLE_NAME]]&amp;DailyCompletionTable[[#This Row],[PROCESS_DATE]]</f>
        <v>POM_ORDER_MESSAGE2021-01-29</v>
      </c>
      <c r="G246" s="41">
        <f>DATE(LEFT(DailyCompletionTable[[#This Row],[PROCESS_DATE]],4),MID(DailyCompletionTable[[#This Row],[PROCESS_DATE]],6,2),MID(DailyCompletionTable[[#This Row],[PROCESS_DATE]],9,2))</f>
        <v>44225</v>
      </c>
      <c r="H24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47" spans="1:8" x14ac:dyDescent="0.3">
      <c r="A247" s="2" t="s">
        <v>369</v>
      </c>
      <c r="B247" s="2" t="s">
        <v>9</v>
      </c>
      <c r="C247" s="2" t="s">
        <v>39</v>
      </c>
      <c r="D247" s="2" t="s">
        <v>11</v>
      </c>
      <c r="E247" s="39" t="s">
        <v>372</v>
      </c>
      <c r="F247" s="40" t="str">
        <f>DailyCompletionTable[[#This Row],[TABLE_NAME]]&amp;DailyCompletionTable[[#This Row],[PROCESS_DATE]]</f>
        <v>POV_ORD_LINE_PARM_VAL2021-01-29</v>
      </c>
      <c r="G247" s="41">
        <f>DATE(LEFT(DailyCompletionTable[[#This Row],[PROCESS_DATE]],4),MID(DailyCompletionTable[[#This Row],[PROCESS_DATE]],6,2),MID(DailyCompletionTable[[#This Row],[PROCESS_DATE]],9,2))</f>
        <v>44225</v>
      </c>
      <c r="H24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44225.024247685185</v>
      </c>
    </row>
    <row r="248" spans="1:8" x14ac:dyDescent="0.3">
      <c r="A248" s="2" t="s">
        <v>369</v>
      </c>
      <c r="B248" s="2" t="s">
        <v>9</v>
      </c>
      <c r="C248" s="2" t="s">
        <v>41</v>
      </c>
      <c r="D248" s="2" t="s">
        <v>11</v>
      </c>
      <c r="E248" s="39" t="s">
        <v>21</v>
      </c>
      <c r="F248" s="40" t="str">
        <f>DailyCompletionTable[[#This Row],[TABLE_NAME]]&amp;DailyCompletionTable[[#This Row],[PROCESS_DATE]]</f>
        <v>PPL_PROVISIONING_LEDGER2021-01-29</v>
      </c>
      <c r="G248" s="41">
        <f>DATE(LEFT(DailyCompletionTable[[#This Row],[PROCESS_DATE]],4),MID(DailyCompletionTable[[#This Row],[PROCESS_DATE]],6,2),MID(DailyCompletionTable[[#This Row],[PROCESS_DATE]],9,2))</f>
        <v>44225</v>
      </c>
      <c r="H24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49" spans="1:8" x14ac:dyDescent="0.3">
      <c r="A249" s="2" t="s">
        <v>369</v>
      </c>
      <c r="B249" s="2" t="s">
        <v>9</v>
      </c>
      <c r="C249" s="2" t="s">
        <v>42</v>
      </c>
      <c r="D249" s="2" t="s">
        <v>11</v>
      </c>
      <c r="E249" s="39" t="s">
        <v>21</v>
      </c>
      <c r="F249" s="40" t="str">
        <f>DailyCompletionTable[[#This Row],[TABLE_NAME]]&amp;DailyCompletionTable[[#This Row],[PROCESS_DATE]]</f>
        <v>PPM_PARM_ITM2021-01-29</v>
      </c>
      <c r="G249" s="41">
        <f>DATE(LEFT(DailyCompletionTable[[#This Row],[PROCESS_DATE]],4),MID(DailyCompletionTable[[#This Row],[PROCESS_DATE]],6,2),MID(DailyCompletionTable[[#This Row],[PROCESS_DATE]],9,2))</f>
        <v>44225</v>
      </c>
      <c r="H24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50" spans="1:8" x14ac:dyDescent="0.3">
      <c r="A250" s="2" t="s">
        <v>369</v>
      </c>
      <c r="B250" s="2" t="s">
        <v>9</v>
      </c>
      <c r="C250" s="2" t="s">
        <v>43</v>
      </c>
      <c r="D250" s="2" t="s">
        <v>11</v>
      </c>
      <c r="E250" s="39" t="s">
        <v>370</v>
      </c>
      <c r="F250" s="40" t="str">
        <f>DailyCompletionTable[[#This Row],[TABLE_NAME]]&amp;DailyCompletionTable[[#This Row],[PROCESS_DATE]]</f>
        <v>PSH_TN_SYMB_CATG_HIST2021-01-29</v>
      </c>
      <c r="G250" s="41">
        <f>DATE(LEFT(DailyCompletionTable[[#This Row],[PROCESS_DATE]],4),MID(DailyCompletionTable[[#This Row],[PROCESS_DATE]],6,2),MID(DailyCompletionTable[[#This Row],[PROCESS_DATE]],9,2))</f>
        <v>44225</v>
      </c>
      <c r="H25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51" spans="1:8" x14ac:dyDescent="0.3">
      <c r="A251" s="2" t="s">
        <v>369</v>
      </c>
      <c r="B251" s="2" t="s">
        <v>9</v>
      </c>
      <c r="C251" s="2" t="s">
        <v>44</v>
      </c>
      <c r="D251" s="2" t="s">
        <v>11</v>
      </c>
      <c r="E251" s="39" t="s">
        <v>370</v>
      </c>
      <c r="F251" s="40" t="str">
        <f>DailyCompletionTable[[#This Row],[TABLE_NAME]]&amp;DailyCompletionTable[[#This Row],[PROCESS_DATE]]</f>
        <v>PSV_IN_SERV_PARM_VAL2021-01-29</v>
      </c>
      <c r="G251" s="41">
        <f>DATE(LEFT(DailyCompletionTable[[#This Row],[PROCESS_DATE]],4),MID(DailyCompletionTable[[#This Row],[PROCESS_DATE]],6,2),MID(DailyCompletionTable[[#This Row],[PROCESS_DATE]],9,2))</f>
        <v>44225</v>
      </c>
      <c r="H25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52" spans="1:8" x14ac:dyDescent="0.3">
      <c r="A252" s="2" t="s">
        <v>369</v>
      </c>
      <c r="B252" s="2" t="s">
        <v>9</v>
      </c>
      <c r="C252" s="2" t="s">
        <v>45</v>
      </c>
      <c r="D252" s="2" t="s">
        <v>11</v>
      </c>
      <c r="E252" s="39" t="s">
        <v>21</v>
      </c>
      <c r="F252" s="40" t="str">
        <f>DailyCompletionTable[[#This Row],[TABLE_NAME]]&amp;DailyCompletionTable[[#This Row],[PROCESS_DATE]]</f>
        <v>PTE_TELEPHONE_EXCHANGE2021-01-29</v>
      </c>
      <c r="G252" s="41">
        <f>DATE(LEFT(DailyCompletionTable[[#This Row],[PROCESS_DATE]],4),MID(DailyCompletionTable[[#This Row],[PROCESS_DATE]],6,2),MID(DailyCompletionTable[[#This Row],[PROCESS_DATE]],9,2))</f>
        <v>44225</v>
      </c>
      <c r="H25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53" spans="1:8" x14ac:dyDescent="0.3">
      <c r="A253" s="2" t="s">
        <v>369</v>
      </c>
      <c r="B253" s="2" t="s">
        <v>9</v>
      </c>
      <c r="C253" s="2" t="s">
        <v>46</v>
      </c>
      <c r="D253" s="2" t="s">
        <v>11</v>
      </c>
      <c r="E253" s="39" t="s">
        <v>21</v>
      </c>
      <c r="F253" s="40" t="str">
        <f>DailyCompletionTable[[#This Row],[TABLE_NAME]]&amp;DailyCompletionTable[[#This Row],[PROCESS_DATE]]</f>
        <v>PTG_TN_EXCHG_GRP2021-01-29</v>
      </c>
      <c r="G253" s="41">
        <f>DATE(LEFT(DailyCompletionTable[[#This Row],[PROCESS_DATE]],4),MID(DailyCompletionTable[[#This Row],[PROCESS_DATE]],6,2),MID(DailyCompletionTable[[#This Row],[PROCESS_DATE]],9,2))</f>
        <v>44225</v>
      </c>
      <c r="H25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54" spans="1:8" x14ac:dyDescent="0.3">
      <c r="A254" s="2" t="s">
        <v>369</v>
      </c>
      <c r="B254" s="2" t="s">
        <v>9</v>
      </c>
      <c r="C254" s="2" t="s">
        <v>47</v>
      </c>
      <c r="D254" s="2" t="s">
        <v>11</v>
      </c>
      <c r="E254" s="39" t="s">
        <v>370</v>
      </c>
      <c r="F254" s="40" t="str">
        <f>DailyCompletionTable[[#This Row],[TABLE_NAME]]&amp;DailyCompletionTable[[#This Row],[PROCESS_DATE]]</f>
        <v>PTH_TN_HIST2021-01-29</v>
      </c>
      <c r="G254" s="41">
        <f>DATE(LEFT(DailyCompletionTable[[#This Row],[PROCESS_DATE]],4),MID(DailyCompletionTable[[#This Row],[PROCESS_DATE]],6,2),MID(DailyCompletionTable[[#This Row],[PROCESS_DATE]],9,2))</f>
        <v>44225</v>
      </c>
      <c r="H25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55" spans="1:8" x14ac:dyDescent="0.3">
      <c r="A255" s="2" t="s">
        <v>369</v>
      </c>
      <c r="B255" s="2" t="s">
        <v>9</v>
      </c>
      <c r="C255" s="2" t="s">
        <v>48</v>
      </c>
      <c r="D255" s="2" t="s">
        <v>11</v>
      </c>
      <c r="E255" s="39" t="s">
        <v>370</v>
      </c>
      <c r="F255" s="40" t="str">
        <f>DailyCompletionTable[[#This Row],[TABLE_NAME]]&amp;DailyCompletionTable[[#This Row],[PROCESS_DATE]]</f>
        <v>PTM_TSK_MSGS2021-01-29</v>
      </c>
      <c r="G255" s="41">
        <f>DATE(LEFT(DailyCompletionTable[[#This Row],[PROCESS_DATE]],4),MID(DailyCompletionTable[[#This Row],[PROCESS_DATE]],6,2),MID(DailyCompletionTable[[#This Row],[PROCESS_DATE]],9,2))</f>
        <v>44225</v>
      </c>
      <c r="H25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56" spans="1:8" x14ac:dyDescent="0.3">
      <c r="A256" s="2" t="s">
        <v>369</v>
      </c>
      <c r="B256" s="2" t="s">
        <v>9</v>
      </c>
      <c r="C256" s="2" t="s">
        <v>49</v>
      </c>
      <c r="D256" s="2" t="s">
        <v>11</v>
      </c>
      <c r="E256" s="39" t="s">
        <v>370</v>
      </c>
      <c r="F256" s="40" t="str">
        <f>DailyCompletionTable[[#This Row],[TABLE_NAME]]&amp;DailyCompletionTable[[#This Row],[PROCESS_DATE]]</f>
        <v>PTN_TN_INVENTORY2021-01-29</v>
      </c>
      <c r="G256" s="41">
        <f>DATE(LEFT(DailyCompletionTable[[#This Row],[PROCESS_DATE]],4),MID(DailyCompletionTable[[#This Row],[PROCESS_DATE]],6,2),MID(DailyCompletionTable[[#This Row],[PROCESS_DATE]],9,2))</f>
        <v>44225</v>
      </c>
      <c r="H25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57" spans="1:8" x14ac:dyDescent="0.3">
      <c r="A257" s="2" t="s">
        <v>369</v>
      </c>
      <c r="B257" s="2" t="s">
        <v>9</v>
      </c>
      <c r="C257" s="2" t="s">
        <v>50</v>
      </c>
      <c r="D257" s="2" t="s">
        <v>11</v>
      </c>
      <c r="E257" s="39" t="s">
        <v>21</v>
      </c>
      <c r="F257" s="40" t="str">
        <f>DailyCompletionTable[[#This Row],[TABLE_NAME]]&amp;DailyCompletionTable[[#This Row],[PROCESS_DATE]]</f>
        <v>PTP_ACCT_TPV_HIST2021-01-29</v>
      </c>
      <c r="G257" s="41">
        <f>DATE(LEFT(DailyCompletionTable[[#This Row],[PROCESS_DATE]],4),MID(DailyCompletionTable[[#This Row],[PROCESS_DATE]],6,2),MID(DailyCompletionTable[[#This Row],[PROCESS_DATE]],9,2))</f>
        <v>44225</v>
      </c>
      <c r="H25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58" spans="1:8" x14ac:dyDescent="0.3">
      <c r="A258" s="2" t="s">
        <v>369</v>
      </c>
      <c r="B258" s="2" t="s">
        <v>9</v>
      </c>
      <c r="C258" s="2" t="s">
        <v>51</v>
      </c>
      <c r="D258" s="2" t="s">
        <v>11</v>
      </c>
      <c r="E258" s="39" t="s">
        <v>52</v>
      </c>
      <c r="F258" s="40" t="str">
        <f>DailyCompletionTable[[#This Row],[TABLE_NAME]]&amp;DailyCompletionTable[[#This Row],[PROCESS_DATE]]</f>
        <v>PUDF2021-01-29</v>
      </c>
      <c r="G258" s="41">
        <f>DATE(LEFT(DailyCompletionTable[[#This Row],[PROCESS_DATE]],4),MID(DailyCompletionTable[[#This Row],[PROCESS_DATE]],6,2),MID(DailyCompletionTable[[#This Row],[PROCESS_DATE]],9,2))</f>
        <v>44225</v>
      </c>
      <c r="H25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44224.910532407404</v>
      </c>
    </row>
    <row r="259" spans="1:8" x14ac:dyDescent="0.3">
      <c r="A259" s="2" t="s">
        <v>369</v>
      </c>
      <c r="B259" s="2" t="s">
        <v>9</v>
      </c>
      <c r="C259" s="2" t="s">
        <v>53</v>
      </c>
      <c r="D259" s="2" t="s">
        <v>11</v>
      </c>
      <c r="E259" s="39" t="s">
        <v>370</v>
      </c>
      <c r="F259" s="40" t="str">
        <f>DailyCompletionTable[[#This Row],[TABLE_NAME]]&amp;DailyCompletionTable[[#This Row],[PROCESS_DATE]]</f>
        <v>PUD_USER_DEFINITION2021-01-29</v>
      </c>
      <c r="G259" s="41">
        <f>DATE(LEFT(DailyCompletionTable[[#This Row],[PROCESS_DATE]],4),MID(DailyCompletionTable[[#This Row],[PROCESS_DATE]],6,2),MID(DailyCompletionTable[[#This Row],[PROCESS_DATE]],9,2))</f>
        <v>44225</v>
      </c>
      <c r="H25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60" spans="1:8" x14ac:dyDescent="0.3">
      <c r="A260" s="2" t="s">
        <v>369</v>
      </c>
      <c r="B260" s="2" t="s">
        <v>9</v>
      </c>
      <c r="C260" s="2" t="s">
        <v>54</v>
      </c>
      <c r="D260" s="2" t="s">
        <v>11</v>
      </c>
      <c r="E260" s="39" t="s">
        <v>370</v>
      </c>
      <c r="F260" s="40" t="str">
        <f>DailyCompletionTable[[#This Row],[TABLE_NAME]]&amp;DailyCompletionTable[[#This Row],[PROCESS_DATE]]</f>
        <v>PWH_ORD_WRK_PLN_HIST2021-01-29</v>
      </c>
      <c r="G260" s="41">
        <f>DATE(LEFT(DailyCompletionTable[[#This Row],[PROCESS_DATE]],4),MID(DailyCompletionTable[[#This Row],[PROCESS_DATE]],6,2),MID(DailyCompletionTable[[#This Row],[PROCESS_DATE]],9,2))</f>
        <v>44225</v>
      </c>
      <c r="H26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61" spans="1:8" x14ac:dyDescent="0.3">
      <c r="A261" s="2" t="s">
        <v>369</v>
      </c>
      <c r="B261" s="2" t="s">
        <v>9</v>
      </c>
      <c r="C261" s="2" t="s">
        <v>55</v>
      </c>
      <c r="D261" s="2" t="s">
        <v>11</v>
      </c>
      <c r="E261" s="39" t="s">
        <v>373</v>
      </c>
      <c r="F261" s="40" t="str">
        <f>DailyCompletionTable[[#This Row],[TABLE_NAME]]&amp;DailyCompletionTable[[#This Row],[PROCESS_DATE]]</f>
        <v>PWI_ORD_WRK_PLN_ITM2021-01-29</v>
      </c>
      <c r="G261" s="41">
        <f>DATE(LEFT(DailyCompletionTable[[#This Row],[PROCESS_DATE]],4),MID(DailyCompletionTable[[#This Row],[PROCESS_DATE]],6,2),MID(DailyCompletionTable[[#This Row],[PROCESS_DATE]],9,2))</f>
        <v>44225</v>
      </c>
      <c r="H26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44224.999780092592</v>
      </c>
    </row>
    <row r="262" spans="1:8" x14ac:dyDescent="0.3">
      <c r="A262" s="2" t="s">
        <v>369</v>
      </c>
      <c r="B262" s="2" t="s">
        <v>9</v>
      </c>
      <c r="C262" s="2" t="s">
        <v>57</v>
      </c>
      <c r="D262" s="2" t="s">
        <v>11</v>
      </c>
      <c r="E262" s="39" t="s">
        <v>370</v>
      </c>
      <c r="F262" s="40" t="str">
        <f>DailyCompletionTable[[#This Row],[TABLE_NAME]]&amp;DailyCompletionTable[[#This Row],[PROCESS_DATE]]</f>
        <v>PWP_ORD_WRK_PLN2021-01-29</v>
      </c>
      <c r="G262" s="41">
        <f>DATE(LEFT(DailyCompletionTable[[#This Row],[PROCESS_DATE]],4),MID(DailyCompletionTable[[#This Row],[PROCESS_DATE]],6,2),MID(DailyCompletionTable[[#This Row],[PROCESS_DATE]],9,2))</f>
        <v>44225</v>
      </c>
      <c r="H26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44224.886145833334</v>
      </c>
    </row>
    <row r="263" spans="1:8" x14ac:dyDescent="0.3">
      <c r="A263" s="2" t="s">
        <v>369</v>
      </c>
      <c r="B263" s="2" t="s">
        <v>9</v>
      </c>
      <c r="C263" s="2" t="s">
        <v>58</v>
      </c>
      <c r="D263" s="2" t="s">
        <v>11</v>
      </c>
      <c r="E263" s="39" t="s">
        <v>59</v>
      </c>
      <c r="F263" s="40" t="str">
        <f>DailyCompletionTable[[#This Row],[TABLE_NAME]]&amp;DailyCompletionTable[[#This Row],[PROCESS_DATE]]</f>
        <v>UDF2021-01-29</v>
      </c>
      <c r="G263" s="41">
        <f>DATE(LEFT(DailyCompletionTable[[#This Row],[PROCESS_DATE]],4),MID(DailyCompletionTable[[#This Row],[PROCESS_DATE]],6,2),MID(DailyCompletionTable[[#This Row],[PROCESS_DATE]],9,2))</f>
        <v>44225</v>
      </c>
      <c r="H26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44224.855740740742</v>
      </c>
    </row>
    <row r="264" spans="1:8" x14ac:dyDescent="0.3">
      <c r="A264" s="2" t="s">
        <v>369</v>
      </c>
      <c r="B264" s="2" t="s">
        <v>9</v>
      </c>
      <c r="C264" s="2" t="s">
        <v>60</v>
      </c>
      <c r="D264" s="2" t="s">
        <v>11</v>
      </c>
      <c r="E264" s="39" t="s">
        <v>21</v>
      </c>
      <c r="F264" s="40" t="str">
        <f>DailyCompletionTable[[#This Row],[TABLE_NAME]]&amp;DailyCompletionTable[[#This Row],[PROCESS_DATE]]</f>
        <v>USC_USOC_CODES2021-01-29</v>
      </c>
      <c r="G264" s="41">
        <f>DATE(LEFT(DailyCompletionTable[[#This Row],[PROCESS_DATE]],4),MID(DailyCompletionTable[[#This Row],[PROCESS_DATE]],6,2),MID(DailyCompletionTable[[#This Row],[PROCESS_DATE]],9,2))</f>
        <v>44225</v>
      </c>
      <c r="H26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265" spans="1:8" x14ac:dyDescent="0.3">
      <c r="A265" s="2" t="s">
        <v>369</v>
      </c>
      <c r="B265" s="2" t="s">
        <v>9</v>
      </c>
      <c r="C265" s="2" t="s">
        <v>61</v>
      </c>
      <c r="D265" s="2" t="s">
        <v>11</v>
      </c>
      <c r="E265" s="39" t="s">
        <v>62</v>
      </c>
      <c r="F265" s="40" t="str">
        <f>DailyCompletionTable[[#This Row],[TABLE_NAME]]&amp;DailyCompletionTable[[#This Row],[PROCESS_DATE]]</f>
        <v>VIPACBT2021-01-29</v>
      </c>
      <c r="G265" s="41">
        <f>DATE(LEFT(DailyCompletionTable[[#This Row],[PROCESS_DATE]],4),MID(DailyCompletionTable[[#This Row],[PROCESS_DATE]],6,2),MID(DailyCompletionTable[[#This Row],[PROCESS_DATE]],9,2))</f>
        <v>44225</v>
      </c>
      <c r="H26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44224.962500000001</v>
      </c>
    </row>
    <row r="266" spans="1:8" x14ac:dyDescent="0.3">
      <c r="A266" s="2" t="s">
        <v>369</v>
      </c>
      <c r="B266" s="2" t="s">
        <v>9</v>
      </c>
      <c r="C266" s="2" t="s">
        <v>63</v>
      </c>
      <c r="D266" s="2" t="s">
        <v>11</v>
      </c>
      <c r="E266" s="39" t="s">
        <v>374</v>
      </c>
      <c r="F266" s="40" t="str">
        <f>DailyCompletionTable[[#This Row],[TABLE_NAME]]&amp;DailyCompletionTable[[#This Row],[PROCESS_DATE]]</f>
        <v>VIPACDT2021-01-29</v>
      </c>
      <c r="G266" s="41">
        <f>DATE(LEFT(DailyCompletionTable[[#This Row],[PROCESS_DATE]],4),MID(DailyCompletionTable[[#This Row],[PROCESS_DATE]],6,2),MID(DailyCompletionTable[[#This Row],[PROCESS_DATE]],9,2))</f>
        <v>44225</v>
      </c>
      <c r="H26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44224.955416666664</v>
      </c>
    </row>
    <row r="267" spans="1:8" x14ac:dyDescent="0.3">
      <c r="A267" s="2" t="s">
        <v>369</v>
      </c>
      <c r="B267" s="2" t="s">
        <v>9</v>
      </c>
      <c r="C267" s="2" t="s">
        <v>65</v>
      </c>
      <c r="D267" s="2" t="s">
        <v>11</v>
      </c>
      <c r="E267" s="39" t="s">
        <v>66</v>
      </c>
      <c r="F267" s="40" t="str">
        <f>DailyCompletionTable[[#This Row],[TABLE_NAME]]&amp;DailyCompletionTable[[#This Row],[PROCESS_DATE]]</f>
        <v>VIPACRT2021-01-29</v>
      </c>
      <c r="G267" s="41">
        <f>DATE(LEFT(DailyCompletionTable[[#This Row],[PROCESS_DATE]],4),MID(DailyCompletionTable[[#This Row],[PROCESS_DATE]],6,2),MID(DailyCompletionTable[[#This Row],[PROCESS_DATE]],9,2))</f>
        <v>44225</v>
      </c>
      <c r="H26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44224.963194444441</v>
      </c>
    </row>
    <row r="268" spans="1:8" x14ac:dyDescent="0.3">
      <c r="A268" s="2" t="s">
        <v>369</v>
      </c>
      <c r="B268" s="2" t="s">
        <v>9</v>
      </c>
      <c r="C268" s="2" t="s">
        <v>67</v>
      </c>
      <c r="D268" s="2" t="s">
        <v>11</v>
      </c>
      <c r="E268" s="39" t="s">
        <v>68</v>
      </c>
      <c r="F268" s="40" t="str">
        <f>DailyCompletionTable[[#This Row],[TABLE_NAME]]&amp;DailyCompletionTable[[#This Row],[PROCESS_DATE]]</f>
        <v>VIPADGT2021-01-29</v>
      </c>
      <c r="G268" s="41">
        <f>DATE(LEFT(DailyCompletionTable[[#This Row],[PROCESS_DATE]],4),MID(DailyCompletionTable[[#This Row],[PROCESS_DATE]],6,2),MID(DailyCompletionTable[[#This Row],[PROCESS_DATE]],9,2))</f>
        <v>44225</v>
      </c>
      <c r="H26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269" spans="1:8" x14ac:dyDescent="0.3">
      <c r="A269" s="2" t="s">
        <v>369</v>
      </c>
      <c r="B269" s="2" t="s">
        <v>9</v>
      </c>
      <c r="C269" s="2" t="s">
        <v>69</v>
      </c>
      <c r="D269" s="2" t="s">
        <v>70</v>
      </c>
      <c r="E269" s="39" t="s">
        <v>375</v>
      </c>
      <c r="F269" s="40" t="str">
        <f>DailyCompletionTable[[#This Row],[TABLE_NAME]]&amp;DailyCompletionTable[[#This Row],[PROCESS_DATE]]</f>
        <v>VIPADJT2021-01-22</v>
      </c>
      <c r="G269" s="41">
        <f>DATE(LEFT(DailyCompletionTable[[#This Row],[PROCESS_DATE]],4),MID(DailyCompletionTable[[#This Row],[PROCESS_DATE]],6,2),MID(DailyCompletionTable[[#This Row],[PROCESS_DATE]],9,2))</f>
        <v>44218</v>
      </c>
      <c r="H26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44218.227719907409</v>
      </c>
    </row>
    <row r="270" spans="1:8" x14ac:dyDescent="0.3">
      <c r="A270" s="2" t="s">
        <v>369</v>
      </c>
      <c r="B270" s="2" t="s">
        <v>9</v>
      </c>
      <c r="C270" s="2" t="s">
        <v>72</v>
      </c>
      <c r="D270" s="2" t="s">
        <v>11</v>
      </c>
      <c r="E270" s="39" t="s">
        <v>376</v>
      </c>
      <c r="F270" s="40" t="str">
        <f>DailyCompletionTable[[#This Row],[TABLE_NAME]]&amp;DailyCompletionTable[[#This Row],[PROCESS_DATE]]</f>
        <v>VIPAHBT2021-01-29</v>
      </c>
      <c r="G270" s="41">
        <f>DATE(LEFT(DailyCompletionTable[[#This Row],[PROCESS_DATE]],4),MID(DailyCompletionTable[[#This Row],[PROCESS_DATE]],6,2),MID(DailyCompletionTable[[#This Row],[PROCESS_DATE]],9,2))</f>
        <v>44225</v>
      </c>
      <c r="H27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44224.848368055558</v>
      </c>
    </row>
    <row r="271" spans="1:8" x14ac:dyDescent="0.3">
      <c r="A271" s="2" t="s">
        <v>369</v>
      </c>
      <c r="B271" s="2" t="s">
        <v>9</v>
      </c>
      <c r="C271" s="2" t="s">
        <v>74</v>
      </c>
      <c r="D271" s="2" t="s">
        <v>11</v>
      </c>
      <c r="E271" s="39" t="s">
        <v>377</v>
      </c>
      <c r="F271" s="40" t="str">
        <f>DailyCompletionTable[[#This Row],[TABLE_NAME]]&amp;DailyCompletionTable[[#This Row],[PROCESS_DATE]]</f>
        <v>VIPAHCT2021-01-29</v>
      </c>
      <c r="G271" s="41">
        <f>DATE(LEFT(DailyCompletionTable[[#This Row],[PROCESS_DATE]],4),MID(DailyCompletionTable[[#This Row],[PROCESS_DATE]],6,2),MID(DailyCompletionTable[[#This Row],[PROCESS_DATE]],9,2))</f>
        <v>44225</v>
      </c>
      <c r="H27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44224.848252314812</v>
      </c>
    </row>
    <row r="272" spans="1:8" x14ac:dyDescent="0.3">
      <c r="A272" s="2" t="s">
        <v>369</v>
      </c>
      <c r="B272" s="2" t="s">
        <v>9</v>
      </c>
      <c r="C272" s="2" t="s">
        <v>76</v>
      </c>
      <c r="D272" s="2" t="s">
        <v>11</v>
      </c>
      <c r="E272" s="39" t="s">
        <v>378</v>
      </c>
      <c r="F272" s="40" t="str">
        <f>DailyCompletionTable[[#This Row],[TABLE_NAME]]&amp;DailyCompletionTable[[#This Row],[PROCESS_DATE]]</f>
        <v>VIPAHGT2021-01-29</v>
      </c>
      <c r="G272" s="41">
        <f>DATE(LEFT(DailyCompletionTable[[#This Row],[PROCESS_DATE]],4),MID(DailyCompletionTable[[#This Row],[PROCESS_DATE]],6,2),MID(DailyCompletionTable[[#This Row],[PROCESS_DATE]],9,2))</f>
        <v>44225</v>
      </c>
      <c r="H27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44224.848240740743</v>
      </c>
    </row>
    <row r="273" spans="1:8" x14ac:dyDescent="0.3">
      <c r="A273" s="2" t="s">
        <v>369</v>
      </c>
      <c r="B273" s="2" t="s">
        <v>9</v>
      </c>
      <c r="C273" s="2" t="s">
        <v>78</v>
      </c>
      <c r="D273" s="2" t="s">
        <v>11</v>
      </c>
      <c r="E273" s="39" t="s">
        <v>379</v>
      </c>
      <c r="F273" s="40" t="str">
        <f>DailyCompletionTable[[#This Row],[TABLE_NAME]]&amp;DailyCompletionTable[[#This Row],[PROCESS_DATE]]</f>
        <v>VIPAHMT2021-01-29</v>
      </c>
      <c r="G273" s="41">
        <f>DATE(LEFT(DailyCompletionTable[[#This Row],[PROCESS_DATE]],4),MID(DailyCompletionTable[[#This Row],[PROCESS_DATE]],6,2),MID(DailyCompletionTable[[#This Row],[PROCESS_DATE]],9,2))</f>
        <v>44225</v>
      </c>
      <c r="H27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44224.848414351851</v>
      </c>
    </row>
    <row r="274" spans="1:8" x14ac:dyDescent="0.3">
      <c r="A274" s="2" t="s">
        <v>369</v>
      </c>
      <c r="B274" s="2" t="s">
        <v>9</v>
      </c>
      <c r="C274" s="2" t="s">
        <v>80</v>
      </c>
      <c r="D274" s="2" t="s">
        <v>11</v>
      </c>
      <c r="E274" s="39" t="s">
        <v>380</v>
      </c>
      <c r="F274" s="40" t="str">
        <f>DailyCompletionTable[[#This Row],[TABLE_NAME]]&amp;DailyCompletionTable[[#This Row],[PROCESS_DATE]]</f>
        <v>VIPAHPT2021-01-29</v>
      </c>
      <c r="G274" s="41">
        <f>DATE(LEFT(DailyCompletionTable[[#This Row],[PROCESS_DATE]],4),MID(DailyCompletionTable[[#This Row],[PROCESS_DATE]],6,2),MID(DailyCompletionTable[[#This Row],[PROCESS_DATE]],9,2))</f>
        <v>44225</v>
      </c>
      <c r="H27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44224.848715277774</v>
      </c>
    </row>
    <row r="275" spans="1:8" x14ac:dyDescent="0.3">
      <c r="A275" s="2" t="s">
        <v>369</v>
      </c>
      <c r="B275" s="2" t="s">
        <v>9</v>
      </c>
      <c r="C275" s="2" t="s">
        <v>82</v>
      </c>
      <c r="D275" s="2" t="s">
        <v>11</v>
      </c>
      <c r="E275" s="39" t="s">
        <v>381</v>
      </c>
      <c r="F275" s="40" t="str">
        <f>DailyCompletionTable[[#This Row],[TABLE_NAME]]&amp;DailyCompletionTable[[#This Row],[PROCESS_DATE]]</f>
        <v>VIPAHTT2021-01-29</v>
      </c>
      <c r="G275" s="41">
        <f>DATE(LEFT(DailyCompletionTable[[#This Row],[PROCESS_DATE]],4),MID(DailyCompletionTable[[#This Row],[PROCESS_DATE]],6,2),MID(DailyCompletionTable[[#This Row],[PROCESS_DATE]],9,2))</f>
        <v>44225</v>
      </c>
      <c r="H27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44224.848379629628</v>
      </c>
    </row>
    <row r="276" spans="1:8" x14ac:dyDescent="0.3">
      <c r="A276" s="2" t="s">
        <v>369</v>
      </c>
      <c r="B276" s="2" t="s">
        <v>9</v>
      </c>
      <c r="C276" s="2" t="s">
        <v>84</v>
      </c>
      <c r="D276" s="2" t="s">
        <v>11</v>
      </c>
      <c r="E276" s="39" t="s">
        <v>382</v>
      </c>
      <c r="F276" s="40" t="str">
        <f>DailyCompletionTable[[#This Row],[TABLE_NAME]]&amp;DailyCompletionTable[[#This Row],[PROCESS_DATE]]</f>
        <v>VIPAIUT2021-01-29</v>
      </c>
      <c r="G276" s="41">
        <f>DATE(LEFT(DailyCompletionTable[[#This Row],[PROCESS_DATE]],4),MID(DailyCompletionTable[[#This Row],[PROCESS_DATE]],6,2),MID(DailyCompletionTable[[#This Row],[PROCESS_DATE]],9,2))</f>
        <v>44225</v>
      </c>
      <c r="H27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44224.848333333335</v>
      </c>
    </row>
    <row r="277" spans="1:8" x14ac:dyDescent="0.3">
      <c r="A277" s="2" t="s">
        <v>369</v>
      </c>
      <c r="B277" s="2" t="s">
        <v>9</v>
      </c>
      <c r="C277" s="2" t="s">
        <v>86</v>
      </c>
      <c r="D277" s="2" t="s">
        <v>11</v>
      </c>
      <c r="E277" s="39" t="s">
        <v>383</v>
      </c>
      <c r="F277" s="40" t="str">
        <f>DailyCompletionTable[[#This Row],[TABLE_NAME]]&amp;DailyCompletionTable[[#This Row],[PROCESS_DATE]]</f>
        <v>VIPALAT2021-01-29</v>
      </c>
      <c r="G277" s="41">
        <f>DATE(LEFT(DailyCompletionTable[[#This Row],[PROCESS_DATE]],4),MID(DailyCompletionTable[[#This Row],[PROCESS_DATE]],6,2),MID(DailyCompletionTable[[#This Row],[PROCESS_DATE]],9,2))</f>
        <v>44225</v>
      </c>
      <c r="H27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44224.849537037036</v>
      </c>
    </row>
    <row r="278" spans="1:8" x14ac:dyDescent="0.3">
      <c r="A278" s="2" t="s">
        <v>369</v>
      </c>
      <c r="B278" s="2" t="s">
        <v>9</v>
      </c>
      <c r="C278" s="2" t="s">
        <v>88</v>
      </c>
      <c r="D278" s="2" t="s">
        <v>11</v>
      </c>
      <c r="E278" s="39" t="s">
        <v>89</v>
      </c>
      <c r="F278" s="40" t="str">
        <f>DailyCompletionTable[[#This Row],[TABLE_NAME]]&amp;DailyCompletionTable[[#This Row],[PROCESS_DATE]]</f>
        <v>VIPARPT2021-01-29</v>
      </c>
      <c r="G278" s="41">
        <f>DATE(LEFT(DailyCompletionTable[[#This Row],[PROCESS_DATE]],4),MID(DailyCompletionTable[[#This Row],[PROCESS_DATE]],6,2),MID(DailyCompletionTable[[#This Row],[PROCESS_DATE]],9,2))</f>
        <v>44225</v>
      </c>
      <c r="H27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44224.959988425922</v>
      </c>
    </row>
    <row r="279" spans="1:8" x14ac:dyDescent="0.3">
      <c r="A279" s="2" t="s">
        <v>369</v>
      </c>
      <c r="B279" s="2" t="s">
        <v>9</v>
      </c>
      <c r="C279" s="2" t="s">
        <v>90</v>
      </c>
      <c r="D279" s="2" t="s">
        <v>11</v>
      </c>
      <c r="E279" s="39" t="s">
        <v>384</v>
      </c>
      <c r="F279" s="40" t="str">
        <f>DailyCompletionTable[[#This Row],[TABLE_NAME]]&amp;DailyCompletionTable[[#This Row],[PROCESS_DATE]]</f>
        <v>VIPC26T2021-01-29</v>
      </c>
      <c r="G279" s="41">
        <f>DATE(LEFT(DailyCompletionTable[[#This Row],[PROCESS_DATE]],4),MID(DailyCompletionTable[[#This Row],[PROCESS_DATE]],6,2),MID(DailyCompletionTable[[#This Row],[PROCESS_DATE]],9,2))</f>
        <v>44225</v>
      </c>
      <c r="H27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44224.848749999997</v>
      </c>
    </row>
    <row r="280" spans="1:8" x14ac:dyDescent="0.3">
      <c r="A280" s="2" t="s">
        <v>369</v>
      </c>
      <c r="B280" s="2" t="s">
        <v>9</v>
      </c>
      <c r="C280" s="2" t="s">
        <v>92</v>
      </c>
      <c r="D280" s="2" t="s">
        <v>11</v>
      </c>
      <c r="E280" s="39" t="s">
        <v>385</v>
      </c>
      <c r="F280" s="40" t="str">
        <f>DailyCompletionTable[[#This Row],[TABLE_NAME]]&amp;DailyCompletionTable[[#This Row],[PROCESS_DATE]]</f>
        <v>VIPC32T2021-01-29</v>
      </c>
      <c r="G280" s="41">
        <f>DATE(LEFT(DailyCompletionTable[[#This Row],[PROCESS_DATE]],4),MID(DailyCompletionTable[[#This Row],[PROCESS_DATE]],6,2),MID(DailyCompletionTable[[#This Row],[PROCESS_DATE]],9,2))</f>
        <v>44225</v>
      </c>
      <c r="H28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44224.848599537036</v>
      </c>
    </row>
    <row r="281" spans="1:8" x14ac:dyDescent="0.3">
      <c r="A281" s="2" t="s">
        <v>369</v>
      </c>
      <c r="B281" s="2" t="s">
        <v>9</v>
      </c>
      <c r="C281" s="2" t="s">
        <v>94</v>
      </c>
      <c r="D281" s="2" t="s">
        <v>11</v>
      </c>
      <c r="E281" s="39" t="s">
        <v>386</v>
      </c>
      <c r="F281" s="40" t="str">
        <f>DailyCompletionTable[[#This Row],[TABLE_NAME]]&amp;DailyCompletionTable[[#This Row],[PROCESS_DATE]]</f>
        <v>VIPCATT2021-01-29</v>
      </c>
      <c r="G281" s="41">
        <f>DATE(LEFT(DailyCompletionTable[[#This Row],[PROCESS_DATE]],4),MID(DailyCompletionTable[[#This Row],[PROCESS_DATE]],6,2),MID(DailyCompletionTable[[#This Row],[PROCESS_DATE]],9,2))</f>
        <v>44225</v>
      </c>
      <c r="H28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44224.848449074074</v>
      </c>
    </row>
    <row r="282" spans="1:8" x14ac:dyDescent="0.3">
      <c r="A282" s="2" t="s">
        <v>369</v>
      </c>
      <c r="B282" s="2" t="s">
        <v>9</v>
      </c>
      <c r="C282" s="2" t="s">
        <v>96</v>
      </c>
      <c r="D282" s="2" t="s">
        <v>11</v>
      </c>
      <c r="E282" s="39" t="s">
        <v>387</v>
      </c>
      <c r="F282" s="40" t="str">
        <f>DailyCompletionTable[[#This Row],[TABLE_NAME]]&amp;DailyCompletionTable[[#This Row],[PROCESS_DATE]]</f>
        <v>VIPCCAT2021-01-29</v>
      </c>
      <c r="G282" s="41">
        <f>DATE(LEFT(DailyCompletionTable[[#This Row],[PROCESS_DATE]],4),MID(DailyCompletionTable[[#This Row],[PROCESS_DATE]],6,2),MID(DailyCompletionTable[[#This Row],[PROCESS_DATE]],9,2))</f>
        <v>44225</v>
      </c>
      <c r="H28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44224.857685185183</v>
      </c>
    </row>
    <row r="283" spans="1:8" x14ac:dyDescent="0.3">
      <c r="A283" s="2" t="s">
        <v>369</v>
      </c>
      <c r="B283" s="2" t="s">
        <v>9</v>
      </c>
      <c r="C283" s="2" t="s">
        <v>98</v>
      </c>
      <c r="D283" s="2" t="s">
        <v>11</v>
      </c>
      <c r="E283" s="39" t="s">
        <v>388</v>
      </c>
      <c r="F283" s="40" t="str">
        <f>DailyCompletionTable[[#This Row],[TABLE_NAME]]&amp;DailyCompletionTable[[#This Row],[PROCESS_DATE]]</f>
        <v>VIPCCTT2021-01-29</v>
      </c>
      <c r="G283" s="41">
        <f>DATE(LEFT(DailyCompletionTable[[#This Row],[PROCESS_DATE]],4),MID(DailyCompletionTable[[#This Row],[PROCESS_DATE]],6,2),MID(DailyCompletionTable[[#This Row],[PROCESS_DATE]],9,2))</f>
        <v>44225</v>
      </c>
      <c r="H28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44224.848553240743</v>
      </c>
    </row>
    <row r="284" spans="1:8" x14ac:dyDescent="0.3">
      <c r="A284" s="2" t="s">
        <v>369</v>
      </c>
      <c r="B284" s="2" t="s">
        <v>9</v>
      </c>
      <c r="C284" s="2" t="s">
        <v>100</v>
      </c>
      <c r="D284" s="2" t="s">
        <v>11</v>
      </c>
      <c r="E284" s="39" t="s">
        <v>389</v>
      </c>
      <c r="F284" s="40" t="str">
        <f>DailyCompletionTable[[#This Row],[TABLE_NAME]]&amp;DailyCompletionTable[[#This Row],[PROCESS_DATE]]</f>
        <v>VIPCCXT2021-01-29</v>
      </c>
      <c r="G284" s="41">
        <f>DATE(LEFT(DailyCompletionTable[[#This Row],[PROCESS_DATE]],4),MID(DailyCompletionTable[[#This Row],[PROCESS_DATE]],6,2),MID(DailyCompletionTable[[#This Row],[PROCESS_DATE]],9,2))</f>
        <v>44225</v>
      </c>
      <c r="H28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44224.848495370374</v>
      </c>
    </row>
    <row r="285" spans="1:8" x14ac:dyDescent="0.3">
      <c r="A285" s="2" t="s">
        <v>369</v>
      </c>
      <c r="B285" s="2" t="s">
        <v>9</v>
      </c>
      <c r="C285" s="2" t="s">
        <v>102</v>
      </c>
      <c r="D285" s="2" t="s">
        <v>11</v>
      </c>
      <c r="E285" s="39" t="s">
        <v>390</v>
      </c>
      <c r="F285" s="40" t="str">
        <f>DailyCompletionTable[[#This Row],[TABLE_NAME]]&amp;DailyCompletionTable[[#This Row],[PROCESS_DATE]]</f>
        <v>VIPCCYT2021-01-29</v>
      </c>
      <c r="G285" s="41">
        <f>DATE(LEFT(DailyCompletionTable[[#This Row],[PROCESS_DATE]],4),MID(DailyCompletionTable[[#This Row],[PROCESS_DATE]],6,2),MID(DailyCompletionTable[[#This Row],[PROCESS_DATE]],9,2))</f>
        <v>44225</v>
      </c>
      <c r="H28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44224.848680555559</v>
      </c>
    </row>
    <row r="286" spans="1:8" x14ac:dyDescent="0.3">
      <c r="A286" s="2" t="s">
        <v>369</v>
      </c>
      <c r="B286" s="2" t="s">
        <v>9</v>
      </c>
      <c r="C286" s="2" t="s">
        <v>104</v>
      </c>
      <c r="D286" s="2" t="s">
        <v>11</v>
      </c>
      <c r="E286" s="39" t="s">
        <v>391</v>
      </c>
      <c r="F286" s="40" t="str">
        <f>DailyCompletionTable[[#This Row],[TABLE_NAME]]&amp;DailyCompletionTable[[#This Row],[PROCESS_DATE]]</f>
        <v>VIPCDAT2021-01-29</v>
      </c>
      <c r="G286" s="41">
        <f>DATE(LEFT(DailyCompletionTable[[#This Row],[PROCESS_DATE]],4),MID(DailyCompletionTable[[#This Row],[PROCESS_DATE]],6,2),MID(DailyCompletionTable[[#This Row],[PROCESS_DATE]],9,2))</f>
        <v>44225</v>
      </c>
      <c r="H28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44224.84878472222</v>
      </c>
    </row>
    <row r="287" spans="1:8" x14ac:dyDescent="0.3">
      <c r="A287" s="2" t="s">
        <v>369</v>
      </c>
      <c r="B287" s="2" t="s">
        <v>9</v>
      </c>
      <c r="C287" s="2" t="s">
        <v>106</v>
      </c>
      <c r="D287" s="2" t="s">
        <v>11</v>
      </c>
      <c r="E287" s="39" t="s">
        <v>392</v>
      </c>
      <c r="F287" s="40" t="str">
        <f>DailyCompletionTable[[#This Row],[TABLE_NAME]]&amp;DailyCompletionTable[[#This Row],[PROCESS_DATE]]</f>
        <v>VIPCDBT2021-01-29</v>
      </c>
      <c r="G287" s="41">
        <f>DATE(LEFT(DailyCompletionTable[[#This Row],[PROCESS_DATE]],4),MID(DailyCompletionTable[[#This Row],[PROCESS_DATE]],6,2),MID(DailyCompletionTable[[#This Row],[PROCESS_DATE]],9,2))</f>
        <v>44225</v>
      </c>
      <c r="H28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44224.848726851851</v>
      </c>
    </row>
    <row r="288" spans="1:8" x14ac:dyDescent="0.3">
      <c r="A288" s="2" t="s">
        <v>369</v>
      </c>
      <c r="B288" s="2" t="s">
        <v>9</v>
      </c>
      <c r="C288" s="2" t="s">
        <v>107</v>
      </c>
      <c r="D288" s="2" t="s">
        <v>11</v>
      </c>
      <c r="E288" s="39" t="s">
        <v>393</v>
      </c>
      <c r="F288" s="40" t="str">
        <f>DailyCompletionTable[[#This Row],[TABLE_NAME]]&amp;DailyCompletionTable[[#This Row],[PROCESS_DATE]]</f>
        <v>VIPCDCT2021-01-29</v>
      </c>
      <c r="G288" s="41">
        <f>DATE(LEFT(DailyCompletionTable[[#This Row],[PROCESS_DATE]],4),MID(DailyCompletionTable[[#This Row],[PROCESS_DATE]],6,2),MID(DailyCompletionTable[[#This Row],[PROCESS_DATE]],9,2))</f>
        <v>44225</v>
      </c>
      <c r="H28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44224.848645833335</v>
      </c>
    </row>
    <row r="289" spans="1:8" x14ac:dyDescent="0.3">
      <c r="A289" s="2" t="s">
        <v>369</v>
      </c>
      <c r="B289" s="2" t="s">
        <v>9</v>
      </c>
      <c r="C289" s="2" t="s">
        <v>109</v>
      </c>
      <c r="D289" s="2" t="s">
        <v>11</v>
      </c>
      <c r="E289" s="39" t="s">
        <v>394</v>
      </c>
      <c r="F289" s="40" t="str">
        <f>DailyCompletionTable[[#This Row],[TABLE_NAME]]&amp;DailyCompletionTable[[#This Row],[PROCESS_DATE]]</f>
        <v>VIPCDRT2021-01-29</v>
      </c>
      <c r="G289" s="41">
        <f>DATE(LEFT(DailyCompletionTable[[#This Row],[PROCESS_DATE]],4),MID(DailyCompletionTable[[#This Row],[PROCESS_DATE]],6,2),MID(DailyCompletionTable[[#This Row],[PROCESS_DATE]],9,2))</f>
        <v>44225</v>
      </c>
      <c r="H28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44224.848541666666</v>
      </c>
    </row>
    <row r="290" spans="1:8" x14ac:dyDescent="0.3">
      <c r="A290" s="2" t="s">
        <v>369</v>
      </c>
      <c r="B290" s="2" t="s">
        <v>9</v>
      </c>
      <c r="C290" s="2" t="s">
        <v>110</v>
      </c>
      <c r="D290" s="2" t="s">
        <v>11</v>
      </c>
      <c r="E290" s="39" t="s">
        <v>395</v>
      </c>
      <c r="F290" s="40" t="str">
        <f>DailyCompletionTable[[#This Row],[TABLE_NAME]]&amp;DailyCompletionTable[[#This Row],[PROCESS_DATE]]</f>
        <v>VIPCECT2021-01-29</v>
      </c>
      <c r="G290" s="41">
        <f>DATE(LEFT(DailyCompletionTable[[#This Row],[PROCESS_DATE]],4),MID(DailyCompletionTable[[#This Row],[PROCESS_DATE]],6,2),MID(DailyCompletionTable[[#This Row],[PROCESS_DATE]],9,2))</f>
        <v>44225</v>
      </c>
      <c r="H29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44224.93540509259</v>
      </c>
    </row>
    <row r="291" spans="1:8" x14ac:dyDescent="0.3">
      <c r="A291" s="2" t="s">
        <v>369</v>
      </c>
      <c r="B291" s="2" t="s">
        <v>9</v>
      </c>
      <c r="C291" s="2" t="s">
        <v>112</v>
      </c>
      <c r="D291" s="2" t="s">
        <v>11</v>
      </c>
      <c r="E291" s="39" t="s">
        <v>396</v>
      </c>
      <c r="F291" s="40" t="str">
        <f>DailyCompletionTable[[#This Row],[TABLE_NAME]]&amp;DailyCompletionTable[[#This Row],[PROCESS_DATE]]</f>
        <v>VIPCEPT2021-01-29</v>
      </c>
      <c r="G291" s="41">
        <f>DATE(LEFT(DailyCompletionTable[[#This Row],[PROCESS_DATE]],4),MID(DailyCompletionTable[[#This Row],[PROCESS_DATE]],6,2),MID(DailyCompletionTable[[#This Row],[PROCESS_DATE]],9,2))</f>
        <v>44225</v>
      </c>
      <c r="H29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44224.848807870374</v>
      </c>
    </row>
    <row r="292" spans="1:8" x14ac:dyDescent="0.3">
      <c r="A292" s="2" t="s">
        <v>369</v>
      </c>
      <c r="B292" s="2" t="s">
        <v>9</v>
      </c>
      <c r="C292" s="2" t="s">
        <v>114</v>
      </c>
      <c r="D292" s="2" t="s">
        <v>11</v>
      </c>
      <c r="E292" s="39" t="s">
        <v>397</v>
      </c>
      <c r="F292" s="40" t="str">
        <f>DailyCompletionTable[[#This Row],[TABLE_NAME]]&amp;DailyCompletionTable[[#This Row],[PROCESS_DATE]]</f>
        <v>VIPCEQT2021-01-29</v>
      </c>
      <c r="G292" s="41">
        <f>DATE(LEFT(DailyCompletionTable[[#This Row],[PROCESS_DATE]],4),MID(DailyCompletionTable[[#This Row],[PROCESS_DATE]],6,2),MID(DailyCompletionTable[[#This Row],[PROCESS_DATE]],9,2))</f>
        <v>44225</v>
      </c>
      <c r="H29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44224.848090277781</v>
      </c>
    </row>
    <row r="293" spans="1:8" x14ac:dyDescent="0.3">
      <c r="A293" s="2" t="s">
        <v>369</v>
      </c>
      <c r="B293" s="2" t="s">
        <v>9</v>
      </c>
      <c r="C293" s="2" t="s">
        <v>116</v>
      </c>
      <c r="D293" s="2" t="s">
        <v>11</v>
      </c>
      <c r="E293" s="39" t="s">
        <v>398</v>
      </c>
      <c r="F293" s="40" t="str">
        <f>DailyCompletionTable[[#This Row],[TABLE_NAME]]&amp;DailyCompletionTable[[#This Row],[PROCESS_DATE]]</f>
        <v>VIPCERT2021-01-29</v>
      </c>
      <c r="G293" s="41">
        <f>DATE(LEFT(DailyCompletionTable[[#This Row],[PROCESS_DATE]],4),MID(DailyCompletionTable[[#This Row],[PROCESS_DATE]],6,2),MID(DailyCompletionTable[[#This Row],[PROCESS_DATE]],9,2))</f>
        <v>44225</v>
      </c>
      <c r="H29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44224.935428240744</v>
      </c>
    </row>
    <row r="294" spans="1:8" x14ac:dyDescent="0.3">
      <c r="A294" s="2" t="s">
        <v>369</v>
      </c>
      <c r="B294" s="2" t="s">
        <v>9</v>
      </c>
      <c r="C294" s="2" t="s">
        <v>118</v>
      </c>
      <c r="D294" s="2" t="s">
        <v>11</v>
      </c>
      <c r="E294" s="39" t="s">
        <v>390</v>
      </c>
      <c r="F294" s="40" t="str">
        <f>DailyCompletionTable[[#This Row],[TABLE_NAME]]&amp;DailyCompletionTable[[#This Row],[PROCESS_DATE]]</f>
        <v>VIPCHXT2021-01-29</v>
      </c>
      <c r="G294" s="41">
        <f>DATE(LEFT(DailyCompletionTable[[#This Row],[PROCESS_DATE]],4),MID(DailyCompletionTable[[#This Row],[PROCESS_DATE]],6,2),MID(DailyCompletionTable[[#This Row],[PROCESS_DATE]],9,2))</f>
        <v>44225</v>
      </c>
      <c r="H29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44224.848680555559</v>
      </c>
    </row>
    <row r="295" spans="1:8" x14ac:dyDescent="0.3">
      <c r="A295" s="2" t="s">
        <v>369</v>
      </c>
      <c r="B295" s="2" t="s">
        <v>9</v>
      </c>
      <c r="C295" s="2" t="s">
        <v>120</v>
      </c>
      <c r="D295" s="2" t="s">
        <v>11</v>
      </c>
      <c r="E295" s="39" t="s">
        <v>391</v>
      </c>
      <c r="F295" s="40" t="str">
        <f>DailyCompletionTable[[#This Row],[TABLE_NAME]]&amp;DailyCompletionTable[[#This Row],[PROCESS_DATE]]</f>
        <v>VIPCIPT2021-01-29</v>
      </c>
      <c r="G295" s="41">
        <f>DATE(LEFT(DailyCompletionTable[[#This Row],[PROCESS_DATE]],4),MID(DailyCompletionTable[[#This Row],[PROCESS_DATE]],6,2),MID(DailyCompletionTable[[#This Row],[PROCESS_DATE]],9,2))</f>
        <v>44225</v>
      </c>
      <c r="H29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44224.84878472222</v>
      </c>
    </row>
    <row r="296" spans="1:8" x14ac:dyDescent="0.3">
      <c r="A296" s="2" t="s">
        <v>369</v>
      </c>
      <c r="B296" s="2" t="s">
        <v>9</v>
      </c>
      <c r="C296" s="2" t="s">
        <v>122</v>
      </c>
      <c r="D296" s="2" t="s">
        <v>11</v>
      </c>
      <c r="E296" s="39" t="s">
        <v>398</v>
      </c>
      <c r="F296" s="40" t="str">
        <f>DailyCompletionTable[[#This Row],[TABLE_NAME]]&amp;DailyCompletionTable[[#This Row],[PROCESS_DATE]]</f>
        <v>VIPCKWT2021-01-29</v>
      </c>
      <c r="G296" s="41">
        <f>DATE(LEFT(DailyCompletionTable[[#This Row],[PROCESS_DATE]],4),MID(DailyCompletionTable[[#This Row],[PROCESS_DATE]],6,2),MID(DailyCompletionTable[[#This Row],[PROCESS_DATE]],9,2))</f>
        <v>44225</v>
      </c>
      <c r="H29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44224.935428240744</v>
      </c>
    </row>
    <row r="297" spans="1:8" x14ac:dyDescent="0.3">
      <c r="A297" s="2" t="s">
        <v>369</v>
      </c>
      <c r="B297" s="2" t="s">
        <v>9</v>
      </c>
      <c r="C297" s="2" t="s">
        <v>124</v>
      </c>
      <c r="D297" s="2" t="s">
        <v>11</v>
      </c>
      <c r="E297" s="39" t="s">
        <v>399</v>
      </c>
      <c r="F297" s="40" t="str">
        <f>DailyCompletionTable[[#This Row],[TABLE_NAME]]&amp;DailyCompletionTable[[#This Row],[PROCESS_DATE]]</f>
        <v>VIPCLAT2021-01-29</v>
      </c>
      <c r="G297" s="41">
        <f>DATE(LEFT(DailyCompletionTable[[#This Row],[PROCESS_DATE]],4),MID(DailyCompletionTable[[#This Row],[PROCESS_DATE]],6,2),MID(DailyCompletionTable[[#This Row],[PROCESS_DATE]],9,2))</f>
        <v>44225</v>
      </c>
      <c r="H29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44224.956412037034</v>
      </c>
    </row>
    <row r="298" spans="1:8" x14ac:dyDescent="0.3">
      <c r="A298" s="2" t="s">
        <v>369</v>
      </c>
      <c r="B298" s="2" t="s">
        <v>9</v>
      </c>
      <c r="C298" s="2" t="s">
        <v>126</v>
      </c>
      <c r="D298" s="2" t="s">
        <v>11</v>
      </c>
      <c r="E298" s="39" t="s">
        <v>400</v>
      </c>
      <c r="F298" s="40" t="str">
        <f>DailyCompletionTable[[#This Row],[TABLE_NAME]]&amp;DailyCompletionTable[[#This Row],[PROCESS_DATE]]</f>
        <v>VIPCLGT2021-01-29</v>
      </c>
      <c r="G298" s="41">
        <f>DATE(LEFT(DailyCompletionTable[[#This Row],[PROCESS_DATE]],4),MID(DailyCompletionTable[[#This Row],[PROCESS_DATE]],6,2),MID(DailyCompletionTable[[#This Row],[PROCESS_DATE]],9,2))</f>
        <v>44225</v>
      </c>
      <c r="H29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44224.848113425927</v>
      </c>
    </row>
    <row r="299" spans="1:8" x14ac:dyDescent="0.3">
      <c r="A299" s="2" t="s">
        <v>369</v>
      </c>
      <c r="B299" s="2" t="s">
        <v>9</v>
      </c>
      <c r="C299" s="2" t="s">
        <v>128</v>
      </c>
      <c r="D299" s="2" t="s">
        <v>11</v>
      </c>
      <c r="E299" s="39" t="s">
        <v>401</v>
      </c>
      <c r="F299" s="40" t="str">
        <f>DailyCompletionTable[[#This Row],[TABLE_NAME]]&amp;DailyCompletionTable[[#This Row],[PROCESS_DATE]]</f>
        <v>VIPCLST2021-01-29</v>
      </c>
      <c r="G299" s="41">
        <f>DATE(LEFT(DailyCompletionTable[[#This Row],[PROCESS_DATE]],4),MID(DailyCompletionTable[[#This Row],[PROCESS_DATE]],6,2),MID(DailyCompletionTable[[#This Row],[PROCESS_DATE]],9,2))</f>
        <v>44225</v>
      </c>
      <c r="H29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44224.848587962966</v>
      </c>
    </row>
    <row r="300" spans="1:8" x14ac:dyDescent="0.3">
      <c r="A300" s="2" t="s">
        <v>369</v>
      </c>
      <c r="B300" s="2" t="s">
        <v>9</v>
      </c>
      <c r="C300" s="2" t="s">
        <v>130</v>
      </c>
      <c r="D300" s="2" t="s">
        <v>11</v>
      </c>
      <c r="E300" s="39" t="s">
        <v>402</v>
      </c>
      <c r="F300" s="40" t="str">
        <f>DailyCompletionTable[[#This Row],[TABLE_NAME]]&amp;DailyCompletionTable[[#This Row],[PROCESS_DATE]]</f>
        <v>VIPCLTT2021-01-29</v>
      </c>
      <c r="G300" s="41">
        <f>DATE(LEFT(DailyCompletionTable[[#This Row],[PROCESS_DATE]],4),MID(DailyCompletionTable[[#This Row],[PROCESS_DATE]],6,2),MID(DailyCompletionTable[[#This Row],[PROCESS_DATE]],9,2))</f>
        <v>44225</v>
      </c>
      <c r="H30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44224.848692129628</v>
      </c>
    </row>
    <row r="301" spans="1:8" x14ac:dyDescent="0.3">
      <c r="A301" s="2" t="s">
        <v>369</v>
      </c>
      <c r="B301" s="2" t="s">
        <v>9</v>
      </c>
      <c r="C301" s="2" t="s">
        <v>131</v>
      </c>
      <c r="D301" s="2" t="s">
        <v>11</v>
      </c>
      <c r="E301" s="39" t="s">
        <v>403</v>
      </c>
      <c r="F301" s="40" t="str">
        <f>DailyCompletionTable[[#This Row],[TABLE_NAME]]&amp;DailyCompletionTable[[#This Row],[PROCESS_DATE]]</f>
        <v>VIPCMPT2021-01-29</v>
      </c>
      <c r="G301" s="41">
        <f>DATE(LEFT(DailyCompletionTable[[#This Row],[PROCESS_DATE]],4),MID(DailyCompletionTable[[#This Row],[PROCESS_DATE]],6,2),MID(DailyCompletionTable[[#This Row],[PROCESS_DATE]],9,2))</f>
        <v>44225</v>
      </c>
      <c r="H30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44224.935416666667</v>
      </c>
    </row>
    <row r="302" spans="1:8" x14ac:dyDescent="0.3">
      <c r="A302" s="2" t="s">
        <v>369</v>
      </c>
      <c r="B302" s="2" t="s">
        <v>9</v>
      </c>
      <c r="C302" s="2" t="s">
        <v>133</v>
      </c>
      <c r="D302" s="2" t="s">
        <v>11</v>
      </c>
      <c r="E302" s="39" t="s">
        <v>404</v>
      </c>
      <c r="F302" s="40" t="str">
        <f>DailyCompletionTable[[#This Row],[TABLE_NAME]]&amp;DailyCompletionTable[[#This Row],[PROCESS_DATE]]</f>
        <v>VIPCMTT2021-01-29</v>
      </c>
      <c r="G302" s="41">
        <f>DATE(LEFT(DailyCompletionTable[[#This Row],[PROCESS_DATE]],4),MID(DailyCompletionTable[[#This Row],[PROCESS_DATE]],6,2),MID(DailyCompletionTable[[#This Row],[PROCESS_DATE]],9,2))</f>
        <v>44225</v>
      </c>
      <c r="H30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44224.848576388889</v>
      </c>
    </row>
    <row r="303" spans="1:8" x14ac:dyDescent="0.3">
      <c r="A303" s="2" t="s">
        <v>369</v>
      </c>
      <c r="B303" s="2" t="s">
        <v>9</v>
      </c>
      <c r="C303" s="2" t="s">
        <v>134</v>
      </c>
      <c r="D303" s="2" t="s">
        <v>11</v>
      </c>
      <c r="E303" s="39" t="s">
        <v>405</v>
      </c>
      <c r="F303" s="40" t="str">
        <f>DailyCompletionTable[[#This Row],[TABLE_NAME]]&amp;DailyCompletionTable[[#This Row],[PROCESS_DATE]]</f>
        <v>VIPCNFT2021-01-29</v>
      </c>
      <c r="G303" s="41">
        <f>DATE(LEFT(DailyCompletionTable[[#This Row],[PROCESS_DATE]],4),MID(DailyCompletionTable[[#This Row],[PROCESS_DATE]],6,2),MID(DailyCompletionTable[[#This Row],[PROCESS_DATE]],9,2))</f>
        <v>44225</v>
      </c>
      <c r="H30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44224.954004629632</v>
      </c>
    </row>
    <row r="304" spans="1:8" x14ac:dyDescent="0.3">
      <c r="A304" s="2" t="s">
        <v>369</v>
      </c>
      <c r="B304" s="2" t="s">
        <v>9</v>
      </c>
      <c r="C304" s="2" t="s">
        <v>136</v>
      </c>
      <c r="D304" s="2" t="s">
        <v>11</v>
      </c>
      <c r="E304" s="39" t="s">
        <v>406</v>
      </c>
      <c r="F304" s="40" t="str">
        <f>DailyCompletionTable[[#This Row],[TABLE_NAME]]&amp;DailyCompletionTable[[#This Row],[PROCESS_DATE]]</f>
        <v>VIPCNOT2021-01-29</v>
      </c>
      <c r="G304" s="41">
        <f>DATE(LEFT(DailyCompletionTable[[#This Row],[PROCESS_DATE]],4),MID(DailyCompletionTable[[#This Row],[PROCESS_DATE]],6,2),MID(DailyCompletionTable[[#This Row],[PROCESS_DATE]],9,2))</f>
        <v>44225</v>
      </c>
      <c r="H30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44224.954016203701</v>
      </c>
    </row>
    <row r="305" spans="1:8" x14ac:dyDescent="0.3">
      <c r="A305" s="2" t="s">
        <v>369</v>
      </c>
      <c r="B305" s="2" t="s">
        <v>9</v>
      </c>
      <c r="C305" s="2" t="s">
        <v>137</v>
      </c>
      <c r="D305" s="2" t="s">
        <v>11</v>
      </c>
      <c r="E305" s="39" t="s">
        <v>407</v>
      </c>
      <c r="F305" s="40" t="str">
        <f>DailyCompletionTable[[#This Row],[TABLE_NAME]]&amp;DailyCompletionTable[[#This Row],[PROCESS_DATE]]</f>
        <v>VIPCODT2021-01-29</v>
      </c>
      <c r="G305" s="41">
        <f>DATE(LEFT(DailyCompletionTable[[#This Row],[PROCESS_DATE]],4),MID(DailyCompletionTable[[#This Row],[PROCESS_DATE]],6,2),MID(DailyCompletionTable[[#This Row],[PROCESS_DATE]],9,2))</f>
        <v>44225</v>
      </c>
      <c r="H30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44225.0075462963</v>
      </c>
    </row>
    <row r="306" spans="1:8" x14ac:dyDescent="0.3">
      <c r="A306" s="2" t="s">
        <v>369</v>
      </c>
      <c r="B306" s="2" t="s">
        <v>9</v>
      </c>
      <c r="C306" s="2" t="s">
        <v>139</v>
      </c>
      <c r="D306" s="2" t="s">
        <v>11</v>
      </c>
      <c r="E306" s="39" t="s">
        <v>408</v>
      </c>
      <c r="F306" s="40" t="str">
        <f>DailyCompletionTable[[#This Row],[TABLE_NAME]]&amp;DailyCompletionTable[[#This Row],[PROCESS_DATE]]</f>
        <v>VIPCOFT2021-01-29</v>
      </c>
      <c r="G306" s="41">
        <f>DATE(LEFT(DailyCompletionTable[[#This Row],[PROCESS_DATE]],4),MID(DailyCompletionTable[[#This Row],[PROCESS_DATE]],6,2),MID(DailyCompletionTable[[#This Row],[PROCESS_DATE]],9,2))</f>
        <v>44225</v>
      </c>
      <c r="H30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44225.009571759256</v>
      </c>
    </row>
    <row r="307" spans="1:8" x14ac:dyDescent="0.3">
      <c r="A307" s="2" t="s">
        <v>369</v>
      </c>
      <c r="B307" s="2" t="s">
        <v>9</v>
      </c>
      <c r="C307" s="2" t="s">
        <v>141</v>
      </c>
      <c r="D307" s="2" t="s">
        <v>11</v>
      </c>
      <c r="E307" s="39" t="s">
        <v>409</v>
      </c>
      <c r="F307" s="40" t="str">
        <f>DailyCompletionTable[[#This Row],[TABLE_NAME]]&amp;DailyCompletionTable[[#This Row],[PROCESS_DATE]]</f>
        <v>VIPCOLT2021-01-29</v>
      </c>
      <c r="G307" s="41">
        <f>DATE(LEFT(DailyCompletionTable[[#This Row],[PROCESS_DATE]],4),MID(DailyCompletionTable[[#This Row],[PROCESS_DATE]],6,2),MID(DailyCompletionTable[[#This Row],[PROCESS_DATE]],9,2))</f>
        <v>44225</v>
      </c>
      <c r="H30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44224.95648148148</v>
      </c>
    </row>
    <row r="308" spans="1:8" x14ac:dyDescent="0.3">
      <c r="A308" s="2" t="s">
        <v>369</v>
      </c>
      <c r="B308" s="2" t="s">
        <v>9</v>
      </c>
      <c r="C308" s="2" t="s">
        <v>143</v>
      </c>
      <c r="D308" s="2" t="s">
        <v>11</v>
      </c>
      <c r="E308" s="39" t="s">
        <v>410</v>
      </c>
      <c r="F308" s="40" t="str">
        <f>DailyCompletionTable[[#This Row],[TABLE_NAME]]&amp;DailyCompletionTable[[#This Row],[PROCESS_DATE]]</f>
        <v>VIPCONT2021-01-29</v>
      </c>
      <c r="G308" s="41">
        <f>DATE(LEFT(DailyCompletionTable[[#This Row],[PROCESS_DATE]],4),MID(DailyCompletionTable[[#This Row],[PROCESS_DATE]],6,2),MID(DailyCompletionTable[[#This Row],[PROCESS_DATE]],9,2))</f>
        <v>44225</v>
      </c>
      <c r="H30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44224.848460648151</v>
      </c>
    </row>
    <row r="309" spans="1:8" x14ac:dyDescent="0.3">
      <c r="A309" s="2" t="s">
        <v>369</v>
      </c>
      <c r="B309" s="2" t="s">
        <v>9</v>
      </c>
      <c r="C309" s="2" t="s">
        <v>145</v>
      </c>
      <c r="D309" s="2" t="s">
        <v>11</v>
      </c>
      <c r="E309" s="39" t="s">
        <v>411</v>
      </c>
      <c r="F309" s="40" t="str">
        <f>DailyCompletionTable[[#This Row],[TABLE_NAME]]&amp;DailyCompletionTable[[#This Row],[PROCESS_DATE]]</f>
        <v>VIPCPLT2021-01-29</v>
      </c>
      <c r="G309" s="41">
        <f>DATE(LEFT(DailyCompletionTable[[#This Row],[PROCESS_DATE]],4),MID(DailyCompletionTable[[#This Row],[PROCESS_DATE]],6,2),MID(DailyCompletionTable[[#This Row],[PROCESS_DATE]],9,2))</f>
        <v>44225</v>
      </c>
      <c r="H30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44225.00949074074</v>
      </c>
    </row>
    <row r="310" spans="1:8" x14ac:dyDescent="0.3">
      <c r="A310" s="2" t="s">
        <v>369</v>
      </c>
      <c r="B310" s="2" t="s">
        <v>9</v>
      </c>
      <c r="C310" s="2" t="s">
        <v>147</v>
      </c>
      <c r="D310" s="2" t="s">
        <v>11</v>
      </c>
      <c r="E310" s="39" t="s">
        <v>412</v>
      </c>
      <c r="F310" s="40" t="str">
        <f>DailyCompletionTable[[#This Row],[TABLE_NAME]]&amp;DailyCompletionTable[[#This Row],[PROCESS_DATE]]</f>
        <v>VIPCRRT2021-01-29</v>
      </c>
      <c r="G310" s="41">
        <f>DATE(LEFT(DailyCompletionTable[[#This Row],[PROCESS_DATE]],4),MID(DailyCompletionTable[[#This Row],[PROCESS_DATE]],6,2),MID(DailyCompletionTable[[#This Row],[PROCESS_DATE]],9,2))</f>
        <v>44225</v>
      </c>
      <c r="H31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44225.089895833335</v>
      </c>
    </row>
    <row r="311" spans="1:8" x14ac:dyDescent="0.3">
      <c r="A311" s="2" t="s">
        <v>369</v>
      </c>
      <c r="B311" s="2" t="s">
        <v>9</v>
      </c>
      <c r="C311" s="2" t="s">
        <v>151</v>
      </c>
      <c r="D311" s="2" t="s">
        <v>11</v>
      </c>
      <c r="E311" s="39" t="s">
        <v>413</v>
      </c>
      <c r="F311" s="40" t="str">
        <f>DailyCompletionTable[[#This Row],[TABLE_NAME]]&amp;DailyCompletionTable[[#This Row],[PROCESS_DATE]]</f>
        <v>VIPCSLT2021-01-29</v>
      </c>
      <c r="G311" s="41">
        <f>DATE(LEFT(DailyCompletionTable[[#This Row],[PROCESS_DATE]],4),MID(DailyCompletionTable[[#This Row],[PROCESS_DATE]],6,2),MID(DailyCompletionTable[[#This Row],[PROCESS_DATE]],9,2))</f>
        <v>44225</v>
      </c>
      <c r="H31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44224.848182870373</v>
      </c>
    </row>
    <row r="312" spans="1:8" x14ac:dyDescent="0.3">
      <c r="A312" s="2" t="s">
        <v>369</v>
      </c>
      <c r="B312" s="2" t="s">
        <v>9</v>
      </c>
      <c r="C312" s="2" t="s">
        <v>153</v>
      </c>
      <c r="D312" s="2" t="s">
        <v>11</v>
      </c>
      <c r="E312" s="39" t="s">
        <v>379</v>
      </c>
      <c r="F312" s="40" t="str">
        <f>DailyCompletionTable[[#This Row],[TABLE_NAME]]&amp;DailyCompletionTable[[#This Row],[PROCESS_DATE]]</f>
        <v>VIPCSPT2021-01-29</v>
      </c>
      <c r="G312" s="41">
        <f>DATE(LEFT(DailyCompletionTable[[#This Row],[PROCESS_DATE]],4),MID(DailyCompletionTable[[#This Row],[PROCESS_DATE]],6,2),MID(DailyCompletionTable[[#This Row],[PROCESS_DATE]],9,2))</f>
        <v>44225</v>
      </c>
      <c r="H31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44224.848414351851</v>
      </c>
    </row>
    <row r="313" spans="1:8" x14ac:dyDescent="0.3">
      <c r="A313" s="2" t="s">
        <v>369</v>
      </c>
      <c r="B313" s="2" t="s">
        <v>9</v>
      </c>
      <c r="C313" s="2" t="s">
        <v>154</v>
      </c>
      <c r="D313" s="2" t="s">
        <v>11</v>
      </c>
      <c r="E313" s="39" t="s">
        <v>414</v>
      </c>
      <c r="F313" s="40" t="str">
        <f>DailyCompletionTable[[#This Row],[TABLE_NAME]]&amp;DailyCompletionTable[[#This Row],[PROCESS_DATE]]</f>
        <v>VIPCSST2021-01-29</v>
      </c>
      <c r="G313" s="41">
        <f>DATE(LEFT(DailyCompletionTable[[#This Row],[PROCESS_DATE]],4),MID(DailyCompletionTable[[#This Row],[PROCESS_DATE]],6,2),MID(DailyCompletionTable[[#This Row],[PROCESS_DATE]],9,2))</f>
        <v>44225</v>
      </c>
      <c r="H31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44224.962835648148</v>
      </c>
    </row>
    <row r="314" spans="1:8" x14ac:dyDescent="0.3">
      <c r="A314" s="2" t="s">
        <v>369</v>
      </c>
      <c r="B314" s="2" t="s">
        <v>9</v>
      </c>
      <c r="C314" s="2" t="s">
        <v>156</v>
      </c>
      <c r="D314" s="2" t="s">
        <v>11</v>
      </c>
      <c r="E314" s="39" t="s">
        <v>415</v>
      </c>
      <c r="F314" s="40" t="str">
        <f>DailyCompletionTable[[#This Row],[TABLE_NAME]]&amp;DailyCompletionTable[[#This Row],[PROCESS_DATE]]</f>
        <v>VIPCTDT2021-01-29</v>
      </c>
      <c r="G314" s="41">
        <f>DATE(LEFT(DailyCompletionTable[[#This Row],[PROCESS_DATE]],4),MID(DailyCompletionTable[[#This Row],[PROCESS_DATE]],6,2),MID(DailyCompletionTable[[#This Row],[PROCESS_DATE]],9,2))</f>
        <v>44225</v>
      </c>
      <c r="H31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44224.848171296297</v>
      </c>
    </row>
    <row r="315" spans="1:8" x14ac:dyDescent="0.3">
      <c r="A315" s="2" t="s">
        <v>369</v>
      </c>
      <c r="B315" s="2" t="s">
        <v>9</v>
      </c>
      <c r="C315" s="2" t="s">
        <v>158</v>
      </c>
      <c r="D315" s="2" t="s">
        <v>11</v>
      </c>
      <c r="E315" s="39" t="s">
        <v>159</v>
      </c>
      <c r="F315" s="40" t="str">
        <f>DailyCompletionTable[[#This Row],[TABLE_NAME]]&amp;DailyCompletionTable[[#This Row],[PROCESS_DATE]]</f>
        <v>VIPCTMT2021-01-29</v>
      </c>
      <c r="G315" s="41">
        <f>DATE(LEFT(DailyCompletionTable[[#This Row],[PROCESS_DATE]],4),MID(DailyCompletionTable[[#This Row],[PROCESS_DATE]],6,2),MID(DailyCompletionTable[[#This Row],[PROCESS_DATE]],9,2))</f>
        <v>44225</v>
      </c>
      <c r="H31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44224.873287037037</v>
      </c>
    </row>
    <row r="316" spans="1:8" x14ac:dyDescent="0.3">
      <c r="A316" s="2" t="s">
        <v>369</v>
      </c>
      <c r="B316" s="2" t="s">
        <v>9</v>
      </c>
      <c r="C316" s="2" t="s">
        <v>160</v>
      </c>
      <c r="D316" s="2" t="s">
        <v>11</v>
      </c>
      <c r="E316" s="39" t="s">
        <v>380</v>
      </c>
      <c r="F316" s="40" t="str">
        <f>DailyCompletionTable[[#This Row],[TABLE_NAME]]&amp;DailyCompletionTable[[#This Row],[PROCESS_DATE]]</f>
        <v>VIPCTZT2021-01-29</v>
      </c>
      <c r="G316" s="41">
        <f>DATE(LEFT(DailyCompletionTable[[#This Row],[PROCESS_DATE]],4),MID(DailyCompletionTable[[#This Row],[PROCESS_DATE]],6,2),MID(DailyCompletionTable[[#This Row],[PROCESS_DATE]],9,2))</f>
        <v>44225</v>
      </c>
      <c r="H31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44224.848715277774</v>
      </c>
    </row>
    <row r="317" spans="1:8" x14ac:dyDescent="0.3">
      <c r="A317" s="2" t="s">
        <v>369</v>
      </c>
      <c r="B317" s="2" t="s">
        <v>9</v>
      </c>
      <c r="C317" s="2" t="s">
        <v>162</v>
      </c>
      <c r="D317" s="2" t="s">
        <v>11</v>
      </c>
      <c r="E317" s="39" t="s">
        <v>416</v>
      </c>
      <c r="F317" s="40" t="str">
        <f>DailyCompletionTable[[#This Row],[TABLE_NAME]]&amp;DailyCompletionTable[[#This Row],[PROCESS_DATE]]</f>
        <v>VIPCUCT2021-01-29</v>
      </c>
      <c r="G317" s="41">
        <f>DATE(LEFT(DailyCompletionTable[[#This Row],[PROCESS_DATE]],4),MID(DailyCompletionTable[[#This Row],[PROCESS_DATE]],6,2),MID(DailyCompletionTable[[#This Row],[PROCESS_DATE]],9,2))</f>
        <v>44225</v>
      </c>
      <c r="H31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44224.848506944443</v>
      </c>
    </row>
    <row r="318" spans="1:8" x14ac:dyDescent="0.3">
      <c r="A318" s="2" t="s">
        <v>369</v>
      </c>
      <c r="B318" s="2" t="s">
        <v>9</v>
      </c>
      <c r="C318" s="2" t="s">
        <v>163</v>
      </c>
      <c r="D318" s="2" t="s">
        <v>11</v>
      </c>
      <c r="E318" s="39" t="s">
        <v>416</v>
      </c>
      <c r="F318" s="40" t="str">
        <f>DailyCompletionTable[[#This Row],[TABLE_NAME]]&amp;DailyCompletionTable[[#This Row],[PROCESS_DATE]]</f>
        <v>VIPCUST2021-01-29</v>
      </c>
      <c r="G318" s="41">
        <f>DATE(LEFT(DailyCompletionTable[[#This Row],[PROCESS_DATE]],4),MID(DailyCompletionTable[[#This Row],[PROCESS_DATE]],6,2),MID(DailyCompletionTable[[#This Row],[PROCESS_DATE]],9,2))</f>
        <v>44225</v>
      </c>
      <c r="H31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44224.848506944443</v>
      </c>
    </row>
    <row r="319" spans="1:8" x14ac:dyDescent="0.3">
      <c r="A319" s="2" t="s">
        <v>369</v>
      </c>
      <c r="B319" s="2" t="s">
        <v>9</v>
      </c>
      <c r="C319" s="2" t="s">
        <v>164</v>
      </c>
      <c r="D319" s="2" t="s">
        <v>11</v>
      </c>
      <c r="E319" s="39" t="s">
        <v>417</v>
      </c>
      <c r="F319" s="40" t="str">
        <f>DailyCompletionTable[[#This Row],[TABLE_NAME]]&amp;DailyCompletionTable[[#This Row],[PROCESS_DATE]]</f>
        <v>VIPCWST2021-01-29</v>
      </c>
      <c r="G319" s="41">
        <f>DATE(LEFT(DailyCompletionTable[[#This Row],[PROCESS_DATE]],4),MID(DailyCompletionTable[[#This Row],[PROCESS_DATE]],6,2),MID(DailyCompletionTable[[#This Row],[PROCESS_DATE]],9,2))</f>
        <v>44225</v>
      </c>
      <c r="H31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44225.00880787037</v>
      </c>
    </row>
    <row r="320" spans="1:8" x14ac:dyDescent="0.3">
      <c r="A320" s="2" t="s">
        <v>369</v>
      </c>
      <c r="B320" s="2" t="s">
        <v>9</v>
      </c>
      <c r="C320" s="2" t="s">
        <v>166</v>
      </c>
      <c r="D320" s="2" t="s">
        <v>70</v>
      </c>
      <c r="E320" s="39" t="s">
        <v>418</v>
      </c>
      <c r="F320" s="40" t="str">
        <f>DailyCompletionTable[[#This Row],[TABLE_NAME]]&amp;DailyCompletionTable[[#This Row],[PROCESS_DATE]]</f>
        <v>VIPDART2021-01-22</v>
      </c>
      <c r="G320" s="41">
        <f>DATE(LEFT(DailyCompletionTable[[#This Row],[PROCESS_DATE]],4),MID(DailyCompletionTable[[#This Row],[PROCESS_DATE]],6,2),MID(DailyCompletionTable[[#This Row],[PROCESS_DATE]],9,2))</f>
        <v>44218</v>
      </c>
      <c r="H32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44218.227476851855</v>
      </c>
    </row>
    <row r="321" spans="1:8" x14ac:dyDescent="0.3">
      <c r="A321" s="2" t="s">
        <v>369</v>
      </c>
      <c r="B321" s="2" t="s">
        <v>9</v>
      </c>
      <c r="C321" s="2" t="s">
        <v>168</v>
      </c>
      <c r="D321" s="2" t="s">
        <v>70</v>
      </c>
      <c r="E321" s="39" t="s">
        <v>418</v>
      </c>
      <c r="F321" s="40" t="str">
        <f>DailyCompletionTable[[#This Row],[TABLE_NAME]]&amp;DailyCompletionTable[[#This Row],[PROCESS_DATE]]</f>
        <v>VIPDBDT2021-01-22</v>
      </c>
      <c r="G321" s="41">
        <f>DATE(LEFT(DailyCompletionTable[[#This Row],[PROCESS_DATE]],4),MID(DailyCompletionTable[[#This Row],[PROCESS_DATE]],6,2),MID(DailyCompletionTable[[#This Row],[PROCESS_DATE]],9,2))</f>
        <v>44218</v>
      </c>
      <c r="H32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44218.227476851855</v>
      </c>
    </row>
    <row r="322" spans="1:8" x14ac:dyDescent="0.3">
      <c r="A322" s="2" t="s">
        <v>369</v>
      </c>
      <c r="B322" s="2" t="s">
        <v>9</v>
      </c>
      <c r="C322" s="2" t="s">
        <v>170</v>
      </c>
      <c r="D322" s="2" t="s">
        <v>70</v>
      </c>
      <c r="E322" s="39" t="s">
        <v>418</v>
      </c>
      <c r="F322" s="40" t="str">
        <f>DailyCompletionTable[[#This Row],[TABLE_NAME]]&amp;DailyCompletionTable[[#This Row],[PROCESS_DATE]]</f>
        <v>VIPDCAT2021-01-22</v>
      </c>
      <c r="G322" s="41">
        <f>DATE(LEFT(DailyCompletionTable[[#This Row],[PROCESS_DATE]],4),MID(DailyCompletionTable[[#This Row],[PROCESS_DATE]],6,2),MID(DailyCompletionTable[[#This Row],[PROCESS_DATE]],9,2))</f>
        <v>44218</v>
      </c>
      <c r="H32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44218.227476851855</v>
      </c>
    </row>
    <row r="323" spans="1:8" x14ac:dyDescent="0.3">
      <c r="A323" s="2" t="s">
        <v>369</v>
      </c>
      <c r="B323" s="2" t="s">
        <v>9</v>
      </c>
      <c r="C323" s="2" t="s">
        <v>172</v>
      </c>
      <c r="D323" s="2" t="s">
        <v>70</v>
      </c>
      <c r="E323" s="39" t="s">
        <v>419</v>
      </c>
      <c r="F323" s="40" t="str">
        <f>DailyCompletionTable[[#This Row],[TABLE_NAME]]&amp;DailyCompletionTable[[#This Row],[PROCESS_DATE]]</f>
        <v>VIPDCET2021-01-22</v>
      </c>
      <c r="G323" s="41">
        <f>DATE(LEFT(DailyCompletionTable[[#This Row],[PROCESS_DATE]],4),MID(DailyCompletionTable[[#This Row],[PROCESS_DATE]],6,2),MID(DailyCompletionTable[[#This Row],[PROCESS_DATE]],9,2))</f>
        <v>44218</v>
      </c>
      <c r="H32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44218.227581018517</v>
      </c>
    </row>
    <row r="324" spans="1:8" x14ac:dyDescent="0.3">
      <c r="A324" s="2" t="s">
        <v>369</v>
      </c>
      <c r="B324" s="2" t="s">
        <v>9</v>
      </c>
      <c r="C324" s="2" t="s">
        <v>173</v>
      </c>
      <c r="D324" s="2" t="s">
        <v>11</v>
      </c>
      <c r="E324" s="39" t="s">
        <v>420</v>
      </c>
      <c r="F324" s="40" t="str">
        <f>DailyCompletionTable[[#This Row],[TABLE_NAME]]&amp;DailyCompletionTable[[#This Row],[PROCESS_DATE]]</f>
        <v>VIPDCUT2021-01-29</v>
      </c>
      <c r="G324" s="41">
        <f>DATE(LEFT(DailyCompletionTable[[#This Row],[PROCESS_DATE]],4),MID(DailyCompletionTable[[#This Row],[PROCESS_DATE]],6,2),MID(DailyCompletionTable[[#This Row],[PROCESS_DATE]],9,2))</f>
        <v>44225</v>
      </c>
      <c r="H32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44224.84884259259</v>
      </c>
    </row>
    <row r="325" spans="1:8" x14ac:dyDescent="0.3">
      <c r="A325" s="2" t="s">
        <v>369</v>
      </c>
      <c r="B325" s="2" t="s">
        <v>9</v>
      </c>
      <c r="C325" s="2" t="s">
        <v>175</v>
      </c>
      <c r="D325" s="2" t="s">
        <v>70</v>
      </c>
      <c r="E325" s="39" t="s">
        <v>421</v>
      </c>
      <c r="F325" s="40" t="str">
        <f>DailyCompletionTable[[#This Row],[TABLE_NAME]]&amp;DailyCompletionTable[[#This Row],[PROCESS_DATE]]</f>
        <v>VIPDEUT2021-01-22</v>
      </c>
      <c r="G325" s="41">
        <f>DATE(LEFT(DailyCompletionTable[[#This Row],[PROCESS_DATE]],4),MID(DailyCompletionTable[[#This Row],[PROCESS_DATE]],6,2),MID(DailyCompletionTable[[#This Row],[PROCESS_DATE]],9,2))</f>
        <v>44218</v>
      </c>
      <c r="H32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44218.227569444447</v>
      </c>
    </row>
    <row r="326" spans="1:8" x14ac:dyDescent="0.3">
      <c r="A326" s="2" t="s">
        <v>369</v>
      </c>
      <c r="B326" s="2" t="s">
        <v>9</v>
      </c>
      <c r="C326" s="2" t="s">
        <v>177</v>
      </c>
      <c r="D326" s="2" t="s">
        <v>70</v>
      </c>
      <c r="E326" s="39" t="s">
        <v>422</v>
      </c>
      <c r="F326" s="40" t="str">
        <f>DailyCompletionTable[[#This Row],[TABLE_NAME]]&amp;DailyCompletionTable[[#This Row],[PROCESS_DATE]]</f>
        <v>VIPDLMT2021-01-22</v>
      </c>
      <c r="G326" s="41">
        <f>DATE(LEFT(DailyCompletionTable[[#This Row],[PROCESS_DATE]],4),MID(DailyCompletionTable[[#This Row],[PROCESS_DATE]],6,2),MID(DailyCompletionTable[[#This Row],[PROCESS_DATE]],9,2))</f>
        <v>44218</v>
      </c>
      <c r="H32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44218.227685185186</v>
      </c>
    </row>
    <row r="327" spans="1:8" x14ac:dyDescent="0.3">
      <c r="A327" s="2" t="s">
        <v>369</v>
      </c>
      <c r="B327" s="2" t="s">
        <v>9</v>
      </c>
      <c r="C327" s="2" t="s">
        <v>179</v>
      </c>
      <c r="D327" s="2" t="s">
        <v>11</v>
      </c>
      <c r="E327" s="39" t="s">
        <v>180</v>
      </c>
      <c r="F327" s="40" t="str">
        <f>DailyCompletionTable[[#This Row],[TABLE_NAME]]&amp;DailyCompletionTable[[#This Row],[PROCESS_DATE]]</f>
        <v>VIPDLPT2021-01-29</v>
      </c>
      <c r="G327" s="41">
        <f>DATE(LEFT(DailyCompletionTable[[#This Row],[PROCESS_DATE]],4),MID(DailyCompletionTable[[#This Row],[PROCESS_DATE]],6,2),MID(DailyCompletionTable[[#This Row],[PROCESS_DATE]],9,2))</f>
        <v>44225</v>
      </c>
      <c r="H32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44225.071238425924</v>
      </c>
    </row>
    <row r="328" spans="1:8" x14ac:dyDescent="0.3">
      <c r="A328" s="2" t="s">
        <v>369</v>
      </c>
      <c r="B328" s="2" t="s">
        <v>9</v>
      </c>
      <c r="C328" s="2" t="s">
        <v>181</v>
      </c>
      <c r="D328" s="2" t="s">
        <v>11</v>
      </c>
      <c r="E328" s="39" t="s">
        <v>68</v>
      </c>
      <c r="F328" s="40" t="str">
        <f>DailyCompletionTable[[#This Row],[TABLE_NAME]]&amp;DailyCompletionTable[[#This Row],[PROCESS_DATE]]</f>
        <v>VIPDLQT2021-01-29</v>
      </c>
      <c r="G328" s="41">
        <f>DATE(LEFT(DailyCompletionTable[[#This Row],[PROCESS_DATE]],4),MID(DailyCompletionTable[[#This Row],[PROCESS_DATE]],6,2),MID(DailyCompletionTable[[#This Row],[PROCESS_DATE]],9,2))</f>
        <v>44225</v>
      </c>
      <c r="H32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329" spans="1:8" x14ac:dyDescent="0.3">
      <c r="A329" s="2" t="s">
        <v>369</v>
      </c>
      <c r="B329" s="2" t="s">
        <v>9</v>
      </c>
      <c r="C329" s="2" t="s">
        <v>182</v>
      </c>
      <c r="D329" s="2" t="s">
        <v>70</v>
      </c>
      <c r="E329" s="39" t="s">
        <v>423</v>
      </c>
      <c r="F329" s="40" t="str">
        <f>DailyCompletionTable[[#This Row],[TABLE_NAME]]&amp;DailyCompletionTable[[#This Row],[PROCESS_DATE]]</f>
        <v>VIPDLST2021-01-22</v>
      </c>
      <c r="G329" s="41">
        <f>DATE(LEFT(DailyCompletionTable[[#This Row],[PROCESS_DATE]],4),MID(DailyCompletionTable[[#This Row],[PROCESS_DATE]],6,2),MID(DailyCompletionTable[[#This Row],[PROCESS_DATE]],9,2))</f>
        <v>44218</v>
      </c>
      <c r="H32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44218.233217592591</v>
      </c>
    </row>
    <row r="330" spans="1:8" x14ac:dyDescent="0.3">
      <c r="A330" s="2" t="s">
        <v>369</v>
      </c>
      <c r="B330" s="2" t="s">
        <v>9</v>
      </c>
      <c r="C330" s="2" t="s">
        <v>184</v>
      </c>
      <c r="D330" s="2" t="s">
        <v>70</v>
      </c>
      <c r="E330" s="39" t="s">
        <v>424</v>
      </c>
      <c r="F330" s="40" t="str">
        <f>DailyCompletionTable[[#This Row],[TABLE_NAME]]&amp;DailyCompletionTable[[#This Row],[PROCESS_DATE]]</f>
        <v>VIPDLTT2021-01-22</v>
      </c>
      <c r="G330" s="41">
        <f>DATE(LEFT(DailyCompletionTable[[#This Row],[PROCESS_DATE]],4),MID(DailyCompletionTable[[#This Row],[PROCESS_DATE]],6,2),MID(DailyCompletionTable[[#This Row],[PROCESS_DATE]],9,2))</f>
        <v>44218</v>
      </c>
      <c r="H33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44218.227500000001</v>
      </c>
    </row>
    <row r="331" spans="1:8" x14ac:dyDescent="0.3">
      <c r="A331" s="2" t="s">
        <v>369</v>
      </c>
      <c r="B331" s="2" t="s">
        <v>9</v>
      </c>
      <c r="C331" s="2" t="s">
        <v>186</v>
      </c>
      <c r="D331" s="2" t="s">
        <v>70</v>
      </c>
      <c r="E331" s="39" t="s">
        <v>375</v>
      </c>
      <c r="F331" s="40" t="str">
        <f>DailyCompletionTable[[#This Row],[TABLE_NAME]]&amp;DailyCompletionTable[[#This Row],[PROCESS_DATE]]</f>
        <v>VIPDMAT2021-01-22</v>
      </c>
      <c r="G331" s="41">
        <f>DATE(LEFT(DailyCompletionTable[[#This Row],[PROCESS_DATE]],4),MID(DailyCompletionTable[[#This Row],[PROCESS_DATE]],6,2),MID(DailyCompletionTable[[#This Row],[PROCESS_DATE]],9,2))</f>
        <v>44218</v>
      </c>
      <c r="H33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44218.227719907409</v>
      </c>
    </row>
    <row r="332" spans="1:8" x14ac:dyDescent="0.3">
      <c r="A332" s="2" t="s">
        <v>369</v>
      </c>
      <c r="B332" s="2" t="s">
        <v>9</v>
      </c>
      <c r="C332" s="2" t="s">
        <v>188</v>
      </c>
      <c r="D332" s="2" t="s">
        <v>11</v>
      </c>
      <c r="E332" s="39" t="s">
        <v>425</v>
      </c>
      <c r="F332" s="40" t="str">
        <f>DailyCompletionTable[[#This Row],[TABLE_NAME]]&amp;DailyCompletionTable[[#This Row],[PROCESS_DATE]]</f>
        <v>VIPDPBT2021-01-29</v>
      </c>
      <c r="G332" s="41">
        <f>DATE(LEFT(DailyCompletionTable[[#This Row],[PROCESS_DATE]],4),MID(DailyCompletionTable[[#This Row],[PROCESS_DATE]],6,2),MID(DailyCompletionTable[[#This Row],[PROCESS_DATE]],9,2))</f>
        <v>44225</v>
      </c>
      <c r="H33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44224.848773148151</v>
      </c>
    </row>
    <row r="333" spans="1:8" x14ac:dyDescent="0.3">
      <c r="A333" s="2" t="s">
        <v>369</v>
      </c>
      <c r="B333" s="2" t="s">
        <v>9</v>
      </c>
      <c r="C333" s="2" t="s">
        <v>190</v>
      </c>
      <c r="D333" s="2" t="s">
        <v>11</v>
      </c>
      <c r="E333" s="39" t="s">
        <v>426</v>
      </c>
      <c r="F333" s="40" t="str">
        <f>DailyCompletionTable[[#This Row],[TABLE_NAME]]&amp;DailyCompletionTable[[#This Row],[PROCESS_DATE]]</f>
        <v>VIPDPST2021-01-29</v>
      </c>
      <c r="G333" s="41">
        <f>DATE(LEFT(DailyCompletionTable[[#This Row],[PROCESS_DATE]],4),MID(DailyCompletionTable[[#This Row],[PROCESS_DATE]],6,2),MID(DailyCompletionTable[[#This Row],[PROCESS_DATE]],9,2))</f>
        <v>44225</v>
      </c>
      <c r="H33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44224.84820601852</v>
      </c>
    </row>
    <row r="334" spans="1:8" x14ac:dyDescent="0.3">
      <c r="A334" s="2" t="s">
        <v>369</v>
      </c>
      <c r="B334" s="2" t="s">
        <v>9</v>
      </c>
      <c r="C334" s="2" t="s">
        <v>192</v>
      </c>
      <c r="D334" s="2" t="s">
        <v>11</v>
      </c>
      <c r="E334" s="39" t="s">
        <v>427</v>
      </c>
      <c r="F334" s="40" t="str">
        <f>DailyCompletionTable[[#This Row],[TABLE_NAME]]&amp;DailyCompletionTable[[#This Row],[PROCESS_DATE]]</f>
        <v>VIPDQAT2021-01-29</v>
      </c>
      <c r="G334" s="41">
        <f>DATE(LEFT(DailyCompletionTable[[#This Row],[PROCESS_DATE]],4),MID(DailyCompletionTable[[#This Row],[PROCESS_DATE]],6,2),MID(DailyCompletionTable[[#This Row],[PROCESS_DATE]],9,2))</f>
        <v>44225</v>
      </c>
      <c r="H33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44224.84883101852</v>
      </c>
    </row>
    <row r="335" spans="1:8" x14ac:dyDescent="0.3">
      <c r="A335" s="2" t="s">
        <v>369</v>
      </c>
      <c r="B335" s="2" t="s">
        <v>9</v>
      </c>
      <c r="C335" s="2" t="s">
        <v>194</v>
      </c>
      <c r="D335" s="2" t="s">
        <v>11</v>
      </c>
      <c r="E335" s="39" t="s">
        <v>68</v>
      </c>
      <c r="F335" s="40" t="str">
        <f>DailyCompletionTable[[#This Row],[TABLE_NAME]]&amp;DailyCompletionTable[[#This Row],[PROCESS_DATE]]</f>
        <v>VIPDQVT2021-01-29</v>
      </c>
      <c r="G335" s="41">
        <f>DATE(LEFT(DailyCompletionTable[[#This Row],[PROCESS_DATE]],4),MID(DailyCompletionTable[[#This Row],[PROCESS_DATE]],6,2),MID(DailyCompletionTable[[#This Row],[PROCESS_DATE]],9,2))</f>
        <v>44225</v>
      </c>
      <c r="H33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336" spans="1:8" x14ac:dyDescent="0.3">
      <c r="A336" s="2" t="s">
        <v>369</v>
      </c>
      <c r="B336" s="2" t="s">
        <v>9</v>
      </c>
      <c r="C336" s="2" t="s">
        <v>195</v>
      </c>
      <c r="D336" s="2" t="s">
        <v>11</v>
      </c>
      <c r="E336" s="39" t="s">
        <v>392</v>
      </c>
      <c r="F336" s="40" t="str">
        <f>DailyCompletionTable[[#This Row],[TABLE_NAME]]&amp;DailyCompletionTable[[#This Row],[PROCESS_DATE]]</f>
        <v>VIPDSCT2021-01-29</v>
      </c>
      <c r="G336" s="41">
        <f>DATE(LEFT(DailyCompletionTable[[#This Row],[PROCESS_DATE]],4),MID(DailyCompletionTable[[#This Row],[PROCESS_DATE]],6,2),MID(DailyCompletionTable[[#This Row],[PROCESS_DATE]],9,2))</f>
        <v>44225</v>
      </c>
      <c r="H33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44224.848726851851</v>
      </c>
    </row>
    <row r="337" spans="1:8" x14ac:dyDescent="0.3">
      <c r="A337" s="2" t="s">
        <v>369</v>
      </c>
      <c r="B337" s="2" t="s">
        <v>9</v>
      </c>
      <c r="C337" s="2" t="s">
        <v>197</v>
      </c>
      <c r="D337" s="2" t="s">
        <v>11</v>
      </c>
      <c r="E337" s="39" t="s">
        <v>428</v>
      </c>
      <c r="F337" s="40" t="str">
        <f>DailyCompletionTable[[#This Row],[TABLE_NAME]]&amp;DailyCompletionTable[[#This Row],[PROCESS_DATE]]</f>
        <v>VIPEAIT2021-01-29</v>
      </c>
      <c r="G337" s="41">
        <f>DATE(LEFT(DailyCompletionTable[[#This Row],[PROCESS_DATE]],4),MID(DailyCompletionTable[[#This Row],[PROCESS_DATE]],6,2),MID(DailyCompletionTable[[#This Row],[PROCESS_DATE]],9,2))</f>
        <v>44225</v>
      </c>
      <c r="H33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44225.089907407404</v>
      </c>
    </row>
    <row r="338" spans="1:8" x14ac:dyDescent="0.3">
      <c r="A338" s="2" t="s">
        <v>369</v>
      </c>
      <c r="B338" s="2" t="s">
        <v>9</v>
      </c>
      <c r="C338" s="2" t="s">
        <v>199</v>
      </c>
      <c r="D338" s="2" t="s">
        <v>11</v>
      </c>
      <c r="E338" s="39" t="s">
        <v>416</v>
      </c>
      <c r="F338" s="40" t="str">
        <f>DailyCompletionTable[[#This Row],[TABLE_NAME]]&amp;DailyCompletionTable[[#This Row],[PROCESS_DATE]]</f>
        <v>VIPECST2021-01-29</v>
      </c>
      <c r="G338" s="41">
        <f>DATE(LEFT(DailyCompletionTable[[#This Row],[PROCESS_DATE]],4),MID(DailyCompletionTable[[#This Row],[PROCESS_DATE]],6,2),MID(DailyCompletionTable[[#This Row],[PROCESS_DATE]],9,2))</f>
        <v>44225</v>
      </c>
      <c r="H33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44224.848506944443</v>
      </c>
    </row>
    <row r="339" spans="1:8" x14ac:dyDescent="0.3">
      <c r="A339" s="2" t="s">
        <v>369</v>
      </c>
      <c r="B339" s="2" t="s">
        <v>9</v>
      </c>
      <c r="C339" s="2" t="s">
        <v>200</v>
      </c>
      <c r="D339" s="2" t="s">
        <v>11</v>
      </c>
      <c r="E339" s="39" t="s">
        <v>427</v>
      </c>
      <c r="F339" s="40" t="str">
        <f>DailyCompletionTable[[#This Row],[TABLE_NAME]]&amp;DailyCompletionTable[[#This Row],[PROCESS_DATE]]</f>
        <v>VIPEPDT2021-01-29</v>
      </c>
      <c r="G339" s="41">
        <f>DATE(LEFT(DailyCompletionTable[[#This Row],[PROCESS_DATE]],4),MID(DailyCompletionTable[[#This Row],[PROCESS_DATE]],6,2),MID(DailyCompletionTable[[#This Row],[PROCESS_DATE]],9,2))</f>
        <v>44225</v>
      </c>
      <c r="H33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44224.84883101852</v>
      </c>
    </row>
    <row r="340" spans="1:8" x14ac:dyDescent="0.3">
      <c r="A340" s="2" t="s">
        <v>369</v>
      </c>
      <c r="B340" s="2" t="s">
        <v>9</v>
      </c>
      <c r="C340" s="2" t="s">
        <v>202</v>
      </c>
      <c r="D340" s="2" t="s">
        <v>11</v>
      </c>
      <c r="E340" s="39" t="s">
        <v>429</v>
      </c>
      <c r="F340" s="40" t="str">
        <f>DailyCompletionTable[[#This Row],[TABLE_NAME]]&amp;DailyCompletionTable[[#This Row],[PROCESS_DATE]]</f>
        <v>VIPEQCT2021-01-29</v>
      </c>
      <c r="G340" s="41">
        <f>DATE(LEFT(DailyCompletionTable[[#This Row],[PROCESS_DATE]],4),MID(DailyCompletionTable[[#This Row],[PROCESS_DATE]],6,2),MID(DailyCompletionTable[[#This Row],[PROCESS_DATE]],9,2))</f>
        <v>44225</v>
      </c>
      <c r="H34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44224.850682870368</v>
      </c>
    </row>
    <row r="341" spans="1:8" x14ac:dyDescent="0.3">
      <c r="A341" s="2" t="s">
        <v>369</v>
      </c>
      <c r="B341" s="2" t="s">
        <v>9</v>
      </c>
      <c r="C341" s="2" t="s">
        <v>204</v>
      </c>
      <c r="D341" s="2" t="s">
        <v>11</v>
      </c>
      <c r="E341" s="39" t="s">
        <v>429</v>
      </c>
      <c r="F341" s="40" t="str">
        <f>DailyCompletionTable[[#This Row],[TABLE_NAME]]&amp;DailyCompletionTable[[#This Row],[PROCESS_DATE]]</f>
        <v>VIPEQET2021-01-29</v>
      </c>
      <c r="G341" s="41">
        <f>DATE(LEFT(DailyCompletionTable[[#This Row],[PROCESS_DATE]],4),MID(DailyCompletionTable[[#This Row],[PROCESS_DATE]],6,2),MID(DailyCompletionTable[[#This Row],[PROCESS_DATE]],9,2))</f>
        <v>44225</v>
      </c>
      <c r="H34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44224.850682870368</v>
      </c>
    </row>
    <row r="342" spans="1:8" x14ac:dyDescent="0.3">
      <c r="A342" s="2" t="s">
        <v>369</v>
      </c>
      <c r="B342" s="2" t="s">
        <v>9</v>
      </c>
      <c r="C342" s="2" t="s">
        <v>205</v>
      </c>
      <c r="D342" s="2" t="s">
        <v>11</v>
      </c>
      <c r="E342" s="39" t="s">
        <v>429</v>
      </c>
      <c r="F342" s="40" t="str">
        <f>DailyCompletionTable[[#This Row],[TABLE_NAME]]&amp;DailyCompletionTable[[#This Row],[PROCESS_DATE]]</f>
        <v>VIPEQPT2021-01-29</v>
      </c>
      <c r="G342" s="41">
        <f>DATE(LEFT(DailyCompletionTable[[#This Row],[PROCESS_DATE]],4),MID(DailyCompletionTable[[#This Row],[PROCESS_DATE]],6,2),MID(DailyCompletionTable[[#This Row],[PROCESS_DATE]],9,2))</f>
        <v>44225</v>
      </c>
      <c r="H34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44224.850682870368</v>
      </c>
    </row>
    <row r="343" spans="1:8" x14ac:dyDescent="0.3">
      <c r="A343" s="2" t="s">
        <v>369</v>
      </c>
      <c r="B343" s="2" t="s">
        <v>9</v>
      </c>
      <c r="C343" s="2" t="s">
        <v>206</v>
      </c>
      <c r="D343" s="2" t="s">
        <v>11</v>
      </c>
      <c r="E343" s="39" t="s">
        <v>429</v>
      </c>
      <c r="F343" s="40" t="str">
        <f>DailyCompletionTable[[#This Row],[TABLE_NAME]]&amp;DailyCompletionTable[[#This Row],[PROCESS_DATE]]</f>
        <v>VIPEQST2021-01-29</v>
      </c>
      <c r="G343" s="41">
        <f>DATE(LEFT(DailyCompletionTable[[#This Row],[PROCESS_DATE]],4),MID(DailyCompletionTable[[#This Row],[PROCESS_DATE]],6,2),MID(DailyCompletionTable[[#This Row],[PROCESS_DATE]],9,2))</f>
        <v>44225</v>
      </c>
      <c r="H34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44224.850682870368</v>
      </c>
    </row>
    <row r="344" spans="1:8" x14ac:dyDescent="0.3">
      <c r="A344" s="2" t="s">
        <v>369</v>
      </c>
      <c r="B344" s="2" t="s">
        <v>9</v>
      </c>
      <c r="C344" s="2" t="s">
        <v>207</v>
      </c>
      <c r="D344" s="2" t="s">
        <v>11</v>
      </c>
      <c r="E344" s="39" t="s">
        <v>430</v>
      </c>
      <c r="F344" s="40" t="str">
        <f>DailyCompletionTable[[#This Row],[TABLE_NAME]]&amp;DailyCompletionTable[[#This Row],[PROCESS_DATE]]</f>
        <v>VIPESBT2021-01-29</v>
      </c>
      <c r="G344" s="41">
        <f>DATE(LEFT(DailyCompletionTable[[#This Row],[PROCESS_DATE]],4),MID(DailyCompletionTable[[#This Row],[PROCESS_DATE]],6,2),MID(DailyCompletionTable[[#This Row],[PROCESS_DATE]],9,2))</f>
        <v>44225</v>
      </c>
      <c r="H34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44224.917557870373</v>
      </c>
    </row>
    <row r="345" spans="1:8" x14ac:dyDescent="0.3">
      <c r="A345" s="2" t="s">
        <v>369</v>
      </c>
      <c r="B345" s="2" t="s">
        <v>9</v>
      </c>
      <c r="C345" s="2" t="s">
        <v>209</v>
      </c>
      <c r="D345" s="2" t="s">
        <v>11</v>
      </c>
      <c r="E345" s="39" t="s">
        <v>378</v>
      </c>
      <c r="F345" s="40" t="str">
        <f>DailyCompletionTable[[#This Row],[TABLE_NAME]]&amp;DailyCompletionTable[[#This Row],[PROCESS_DATE]]</f>
        <v>VIPETFT2021-01-29</v>
      </c>
      <c r="G345" s="41">
        <f>DATE(LEFT(DailyCompletionTable[[#This Row],[PROCESS_DATE]],4),MID(DailyCompletionTable[[#This Row],[PROCESS_DATE]],6,2),MID(DailyCompletionTable[[#This Row],[PROCESS_DATE]],9,2))</f>
        <v>44225</v>
      </c>
      <c r="H34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44224.848240740743</v>
      </c>
    </row>
    <row r="346" spans="1:8" x14ac:dyDescent="0.3">
      <c r="A346" s="2" t="s">
        <v>369</v>
      </c>
      <c r="B346" s="2" t="s">
        <v>9</v>
      </c>
      <c r="C346" s="2" t="s">
        <v>211</v>
      </c>
      <c r="D346" s="2" t="s">
        <v>11</v>
      </c>
      <c r="E346" s="39" t="s">
        <v>431</v>
      </c>
      <c r="F346" s="40" t="str">
        <f>DailyCompletionTable[[#This Row],[TABLE_NAME]]&amp;DailyCompletionTable[[#This Row],[PROCESS_DATE]]</f>
        <v>VIPETTT2021-01-29</v>
      </c>
      <c r="G346" s="41">
        <f>DATE(LEFT(DailyCompletionTable[[#This Row],[PROCESS_DATE]],4),MID(DailyCompletionTable[[#This Row],[PROCESS_DATE]],6,2),MID(DailyCompletionTable[[#This Row],[PROCESS_DATE]],9,2))</f>
        <v>44225</v>
      </c>
      <c r="H34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44224.848530092589</v>
      </c>
    </row>
    <row r="347" spans="1:8" x14ac:dyDescent="0.3">
      <c r="A347" s="2" t="s">
        <v>369</v>
      </c>
      <c r="B347" s="2" t="s">
        <v>9</v>
      </c>
      <c r="C347" s="2" t="s">
        <v>213</v>
      </c>
      <c r="D347" s="2" t="s">
        <v>70</v>
      </c>
      <c r="E347" s="39" t="s">
        <v>432</v>
      </c>
      <c r="F347" s="40" t="str">
        <f>DailyCompletionTable[[#This Row],[TABLE_NAME]]&amp;DailyCompletionTable[[#This Row],[PROCESS_DATE]]</f>
        <v>VIPEURT2021-01-22</v>
      </c>
      <c r="G347" s="41">
        <f>DATE(LEFT(DailyCompletionTable[[#This Row],[PROCESS_DATE]],4),MID(DailyCompletionTable[[#This Row],[PROCESS_DATE]],6,2),MID(DailyCompletionTable[[#This Row],[PROCESS_DATE]],9,2))</f>
        <v>44218</v>
      </c>
      <c r="H34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44218.135740740741</v>
      </c>
    </row>
    <row r="348" spans="1:8" x14ac:dyDescent="0.3">
      <c r="A348" s="2" t="s">
        <v>369</v>
      </c>
      <c r="B348" s="2" t="s">
        <v>9</v>
      </c>
      <c r="C348" s="2" t="s">
        <v>215</v>
      </c>
      <c r="D348" s="2" t="s">
        <v>70</v>
      </c>
      <c r="E348" s="39" t="s">
        <v>433</v>
      </c>
      <c r="F348" s="40" t="str">
        <f>DailyCompletionTable[[#This Row],[TABLE_NAME]]&amp;DailyCompletionTable[[#This Row],[PROCESS_DATE]]</f>
        <v>VIPEUTT2021-01-22</v>
      </c>
      <c r="G348" s="41">
        <f>DATE(LEFT(DailyCompletionTable[[#This Row],[PROCESS_DATE]],4),MID(DailyCompletionTable[[#This Row],[PROCESS_DATE]],6,2),MID(DailyCompletionTable[[#This Row],[PROCESS_DATE]],9,2))</f>
        <v>44218</v>
      </c>
      <c r="H34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44218.174849537034</v>
      </c>
    </row>
    <row r="349" spans="1:8" x14ac:dyDescent="0.3">
      <c r="A349" s="2" t="s">
        <v>369</v>
      </c>
      <c r="B349" s="2" t="s">
        <v>9</v>
      </c>
      <c r="C349" s="2" t="s">
        <v>217</v>
      </c>
      <c r="D349" s="2" t="s">
        <v>11</v>
      </c>
      <c r="E349" s="39" t="s">
        <v>434</v>
      </c>
      <c r="F349" s="40" t="str">
        <f>DailyCompletionTable[[#This Row],[TABLE_NAME]]&amp;DailyCompletionTable[[#This Row],[PROCESS_DATE]]</f>
        <v>VIPEVBT2021-01-29</v>
      </c>
      <c r="G349" s="41">
        <f>DATE(LEFT(DailyCompletionTable[[#This Row],[PROCESS_DATE]],4),MID(DailyCompletionTable[[#This Row],[PROCESS_DATE]],6,2),MID(DailyCompletionTable[[#This Row],[PROCESS_DATE]],9,2))</f>
        <v>44225</v>
      </c>
      <c r="H34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44224.862743055557</v>
      </c>
    </row>
    <row r="350" spans="1:8" x14ac:dyDescent="0.3">
      <c r="A350" s="2" t="s">
        <v>369</v>
      </c>
      <c r="B350" s="2" t="s">
        <v>9</v>
      </c>
      <c r="C350" s="2" t="s">
        <v>219</v>
      </c>
      <c r="D350" s="2" t="s">
        <v>11</v>
      </c>
      <c r="E350" s="39" t="s">
        <v>434</v>
      </c>
      <c r="F350" s="40" t="str">
        <f>DailyCompletionTable[[#This Row],[TABLE_NAME]]&amp;DailyCompletionTable[[#This Row],[PROCESS_DATE]]</f>
        <v>VIPEVDT2021-01-29</v>
      </c>
      <c r="G350" s="41">
        <f>DATE(LEFT(DailyCompletionTable[[#This Row],[PROCESS_DATE]],4),MID(DailyCompletionTable[[#This Row],[PROCESS_DATE]],6,2),MID(DailyCompletionTable[[#This Row],[PROCESS_DATE]],9,2))</f>
        <v>44225</v>
      </c>
      <c r="H35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44224.862743055557</v>
      </c>
    </row>
    <row r="351" spans="1:8" x14ac:dyDescent="0.3">
      <c r="A351" s="2" t="s">
        <v>369</v>
      </c>
      <c r="B351" s="2" t="s">
        <v>9</v>
      </c>
      <c r="C351" s="2" t="s">
        <v>220</v>
      </c>
      <c r="D351" s="2" t="s">
        <v>11</v>
      </c>
      <c r="E351" s="39" t="s">
        <v>434</v>
      </c>
      <c r="F351" s="40" t="str">
        <f>DailyCompletionTable[[#This Row],[TABLE_NAME]]&amp;DailyCompletionTable[[#This Row],[PROCESS_DATE]]</f>
        <v>VIPEVPT2021-01-29</v>
      </c>
      <c r="G351" s="41">
        <f>DATE(LEFT(DailyCompletionTable[[#This Row],[PROCESS_DATE]],4),MID(DailyCompletionTable[[#This Row],[PROCESS_DATE]],6,2),MID(DailyCompletionTable[[#This Row],[PROCESS_DATE]],9,2))</f>
        <v>44225</v>
      </c>
      <c r="H35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44224.862743055557</v>
      </c>
    </row>
    <row r="352" spans="1:8" x14ac:dyDescent="0.3">
      <c r="A352" s="2" t="s">
        <v>369</v>
      </c>
      <c r="B352" s="2" t="s">
        <v>9</v>
      </c>
      <c r="C352" s="2" t="s">
        <v>221</v>
      </c>
      <c r="D352" s="2" t="s">
        <v>11</v>
      </c>
      <c r="E352" s="39" t="s">
        <v>434</v>
      </c>
      <c r="F352" s="40" t="str">
        <f>DailyCompletionTable[[#This Row],[TABLE_NAME]]&amp;DailyCompletionTable[[#This Row],[PROCESS_DATE]]</f>
        <v>VIPEVST2021-01-29</v>
      </c>
      <c r="G352" s="41">
        <f>DATE(LEFT(DailyCompletionTable[[#This Row],[PROCESS_DATE]],4),MID(DailyCompletionTable[[#This Row],[PROCESS_DATE]],6,2),MID(DailyCompletionTable[[#This Row],[PROCESS_DATE]],9,2))</f>
        <v>44225</v>
      </c>
      <c r="H35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44224.862743055557</v>
      </c>
    </row>
    <row r="353" spans="1:8" x14ac:dyDescent="0.3">
      <c r="A353" s="2" t="s">
        <v>369</v>
      </c>
      <c r="B353" s="2" t="s">
        <v>9</v>
      </c>
      <c r="C353" s="2" t="s">
        <v>222</v>
      </c>
      <c r="D353" s="2" t="s">
        <v>11</v>
      </c>
      <c r="E353" s="39" t="s">
        <v>420</v>
      </c>
      <c r="F353" s="40" t="str">
        <f>DailyCompletionTable[[#This Row],[TABLE_NAME]]&amp;DailyCompletionTable[[#This Row],[PROCESS_DATE]]</f>
        <v>VIPFDPT2021-01-29</v>
      </c>
      <c r="G353" s="41">
        <f>DATE(LEFT(DailyCompletionTable[[#This Row],[PROCESS_DATE]],4),MID(DailyCompletionTable[[#This Row],[PROCESS_DATE]],6,2),MID(DailyCompletionTable[[#This Row],[PROCESS_DATE]],9,2))</f>
        <v>44225</v>
      </c>
      <c r="H35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44224.84884259259</v>
      </c>
    </row>
    <row r="354" spans="1:8" x14ac:dyDescent="0.3">
      <c r="A354" s="2" t="s">
        <v>369</v>
      </c>
      <c r="B354" s="2" t="s">
        <v>9</v>
      </c>
      <c r="C354" s="2" t="s">
        <v>223</v>
      </c>
      <c r="D354" s="2" t="s">
        <v>11</v>
      </c>
      <c r="E354" s="39" t="s">
        <v>435</v>
      </c>
      <c r="F354" s="40" t="str">
        <f>DailyCompletionTable[[#This Row],[TABLE_NAME]]&amp;DailyCompletionTable[[#This Row],[PROCESS_DATE]]</f>
        <v>VIPGPST2021-01-29</v>
      </c>
      <c r="G354" s="41">
        <f>DATE(LEFT(DailyCompletionTable[[#This Row],[PROCESS_DATE]],4),MID(DailyCompletionTable[[#This Row],[PROCESS_DATE]],6,2),MID(DailyCompletionTable[[#This Row],[PROCESS_DATE]],9,2))</f>
        <v>44225</v>
      </c>
      <c r="H35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44224.963449074072</v>
      </c>
    </row>
    <row r="355" spans="1:8" x14ac:dyDescent="0.3">
      <c r="A355" s="2" t="s">
        <v>369</v>
      </c>
      <c r="B355" s="2" t="s">
        <v>9</v>
      </c>
      <c r="C355" s="2" t="s">
        <v>225</v>
      </c>
      <c r="D355" s="2" t="s">
        <v>11</v>
      </c>
      <c r="E355" s="39" t="s">
        <v>436</v>
      </c>
      <c r="F355" s="40" t="str">
        <f>DailyCompletionTable[[#This Row],[TABLE_NAME]]&amp;DailyCompletionTable[[#This Row],[PROCESS_DATE]]</f>
        <v>VIPHSBT2021-01-29</v>
      </c>
      <c r="G355" s="41">
        <f>DATE(LEFT(DailyCompletionTable[[#This Row],[PROCESS_DATE]],4),MID(DailyCompletionTable[[#This Row],[PROCESS_DATE]],6,2),MID(DailyCompletionTable[[#This Row],[PROCESS_DATE]],9,2))</f>
        <v>44225</v>
      </c>
      <c r="H35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44224.848310185182</v>
      </c>
    </row>
    <row r="356" spans="1:8" x14ac:dyDescent="0.3">
      <c r="A356" s="2" t="s">
        <v>369</v>
      </c>
      <c r="B356" s="2" t="s">
        <v>9</v>
      </c>
      <c r="C356" s="2" t="s">
        <v>227</v>
      </c>
      <c r="D356" s="2" t="s">
        <v>11</v>
      </c>
      <c r="E356" s="39" t="s">
        <v>436</v>
      </c>
      <c r="F356" s="40" t="str">
        <f>DailyCompletionTable[[#This Row],[TABLE_NAME]]&amp;DailyCompletionTable[[#This Row],[PROCESS_DATE]]</f>
        <v>VIPHSLT2021-01-29</v>
      </c>
      <c r="G356" s="41">
        <f>DATE(LEFT(DailyCompletionTable[[#This Row],[PROCESS_DATE]],4),MID(DailyCompletionTable[[#This Row],[PROCESS_DATE]],6,2),MID(DailyCompletionTable[[#This Row],[PROCESS_DATE]],9,2))</f>
        <v>44225</v>
      </c>
      <c r="H35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44224.848310185182</v>
      </c>
    </row>
    <row r="357" spans="1:8" x14ac:dyDescent="0.3">
      <c r="A357" s="2" t="s">
        <v>369</v>
      </c>
      <c r="B357" s="2" t="s">
        <v>9</v>
      </c>
      <c r="C357" s="2" t="s">
        <v>228</v>
      </c>
      <c r="D357" s="2" t="s">
        <v>11</v>
      </c>
      <c r="E357" s="39" t="s">
        <v>436</v>
      </c>
      <c r="F357" s="40" t="str">
        <f>DailyCompletionTable[[#This Row],[TABLE_NAME]]&amp;DailyCompletionTable[[#This Row],[PROCESS_DATE]]</f>
        <v>VIPHSMT2021-01-29</v>
      </c>
      <c r="G357" s="41">
        <f>DATE(LEFT(DailyCompletionTable[[#This Row],[PROCESS_DATE]],4),MID(DailyCompletionTable[[#This Row],[PROCESS_DATE]],6,2),MID(DailyCompletionTable[[#This Row],[PROCESS_DATE]],9,2))</f>
        <v>44225</v>
      </c>
      <c r="H35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44224.848310185182</v>
      </c>
    </row>
    <row r="358" spans="1:8" x14ac:dyDescent="0.3">
      <c r="A358" s="2" t="s">
        <v>369</v>
      </c>
      <c r="B358" s="2" t="s">
        <v>9</v>
      </c>
      <c r="C358" s="2" t="s">
        <v>229</v>
      </c>
      <c r="D358" s="2" t="s">
        <v>11</v>
      </c>
      <c r="E358" s="39" t="s">
        <v>437</v>
      </c>
      <c r="F358" s="40" t="str">
        <f>DailyCompletionTable[[#This Row],[TABLE_NAME]]&amp;DailyCompletionTable[[#This Row],[PROCESS_DATE]]</f>
        <v>VIPITVT2021-01-29</v>
      </c>
      <c r="G358" s="41">
        <f>DATE(LEFT(DailyCompletionTable[[#This Row],[PROCESS_DATE]],4),MID(DailyCompletionTable[[#This Row],[PROCESS_DATE]],6,2),MID(DailyCompletionTable[[#This Row],[PROCESS_DATE]],9,2))</f>
        <v>44225</v>
      </c>
      <c r="H35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44224.972094907411</v>
      </c>
    </row>
    <row r="359" spans="1:8" x14ac:dyDescent="0.3">
      <c r="A359" s="2" t="s">
        <v>369</v>
      </c>
      <c r="B359" s="2" t="s">
        <v>9</v>
      </c>
      <c r="C359" s="2" t="s">
        <v>231</v>
      </c>
      <c r="D359" s="2" t="s">
        <v>11</v>
      </c>
      <c r="E359" s="39" t="s">
        <v>426</v>
      </c>
      <c r="F359" s="40" t="str">
        <f>DailyCompletionTable[[#This Row],[TABLE_NAME]]&amp;DailyCompletionTable[[#This Row],[PROCESS_DATE]]</f>
        <v>VIPLTRT2021-01-29</v>
      </c>
      <c r="G359" s="41">
        <f>DATE(LEFT(DailyCompletionTable[[#This Row],[PROCESS_DATE]],4),MID(DailyCompletionTable[[#This Row],[PROCESS_DATE]],6,2),MID(DailyCompletionTable[[#This Row],[PROCESS_DATE]],9,2))</f>
        <v>44225</v>
      </c>
      <c r="H35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44224.84820601852</v>
      </c>
    </row>
    <row r="360" spans="1:8" x14ac:dyDescent="0.3">
      <c r="A360" s="2" t="s">
        <v>369</v>
      </c>
      <c r="B360" s="2" t="s">
        <v>9</v>
      </c>
      <c r="C360" s="2" t="s">
        <v>232</v>
      </c>
      <c r="D360" s="2" t="s">
        <v>11</v>
      </c>
      <c r="E360" s="39" t="s">
        <v>438</v>
      </c>
      <c r="F360" s="40" t="str">
        <f>DailyCompletionTable[[#This Row],[TABLE_NAME]]&amp;DailyCompletionTable[[#This Row],[PROCESS_DATE]]</f>
        <v>VIPMN1T2021-01-29</v>
      </c>
      <c r="G360" s="41">
        <f>DATE(LEFT(DailyCompletionTable[[#This Row],[PROCESS_DATE]],4),MID(DailyCompletionTable[[#This Row],[PROCESS_DATE]],6,2),MID(DailyCompletionTable[[#This Row],[PROCESS_DATE]],9,2))</f>
        <v>44225</v>
      </c>
      <c r="H36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44224.959722222222</v>
      </c>
    </row>
    <row r="361" spans="1:8" x14ac:dyDescent="0.3">
      <c r="A361" s="2" t="s">
        <v>369</v>
      </c>
      <c r="B361" s="2" t="s">
        <v>9</v>
      </c>
      <c r="C361" s="2" t="s">
        <v>233</v>
      </c>
      <c r="D361" s="2" t="s">
        <v>11</v>
      </c>
      <c r="E361" s="39" t="s">
        <v>439</v>
      </c>
      <c r="F361" s="40" t="str">
        <f>DailyCompletionTable[[#This Row],[TABLE_NAME]]&amp;DailyCompletionTable[[#This Row],[PROCESS_DATE]]</f>
        <v>VIPMONT2021-01-29</v>
      </c>
      <c r="G361" s="41">
        <f>DATE(LEFT(DailyCompletionTable[[#This Row],[PROCESS_DATE]],4),MID(DailyCompletionTable[[#This Row],[PROCESS_DATE]],6,2),MID(DailyCompletionTable[[#This Row],[PROCESS_DATE]],9,2))</f>
        <v>44225</v>
      </c>
      <c r="H36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44224.964583333334</v>
      </c>
    </row>
    <row r="362" spans="1:8" x14ac:dyDescent="0.3">
      <c r="A362" s="2" t="s">
        <v>369</v>
      </c>
      <c r="B362" s="2" t="s">
        <v>9</v>
      </c>
      <c r="C362" s="2" t="s">
        <v>235</v>
      </c>
      <c r="D362" s="2" t="s">
        <v>11</v>
      </c>
      <c r="E362" s="39" t="s">
        <v>440</v>
      </c>
      <c r="F362" s="40" t="str">
        <f>DailyCompletionTable[[#This Row],[TABLE_NAME]]&amp;DailyCompletionTable[[#This Row],[PROCESS_DATE]]</f>
        <v>VIPNEQT2021-01-29</v>
      </c>
      <c r="G362" s="41">
        <f>DATE(LEFT(DailyCompletionTable[[#This Row],[PROCESS_DATE]],4),MID(DailyCompletionTable[[#This Row],[PROCESS_DATE]],6,2),MID(DailyCompletionTable[[#This Row],[PROCESS_DATE]],9,2))</f>
        <v>44225</v>
      </c>
      <c r="H36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44224.848344907405</v>
      </c>
    </row>
    <row r="363" spans="1:8" x14ac:dyDescent="0.3">
      <c r="A363" s="2" t="s">
        <v>369</v>
      </c>
      <c r="B363" s="2" t="s">
        <v>9</v>
      </c>
      <c r="C363" s="2" t="s">
        <v>237</v>
      </c>
      <c r="D363" s="2" t="s">
        <v>11</v>
      </c>
      <c r="E363" s="39" t="s">
        <v>404</v>
      </c>
      <c r="F363" s="40" t="str">
        <f>DailyCompletionTable[[#This Row],[TABLE_NAME]]&amp;DailyCompletionTable[[#This Row],[PROCESS_DATE]]</f>
        <v>VIPNQLT2021-01-29</v>
      </c>
      <c r="G363" s="41">
        <f>DATE(LEFT(DailyCompletionTable[[#This Row],[PROCESS_DATE]],4),MID(DailyCompletionTable[[#This Row],[PROCESS_DATE]],6,2),MID(DailyCompletionTable[[#This Row],[PROCESS_DATE]],9,2))</f>
        <v>44225</v>
      </c>
      <c r="H36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44224.848576388889</v>
      </c>
    </row>
    <row r="364" spans="1:8" x14ac:dyDescent="0.3">
      <c r="A364" s="2" t="s">
        <v>369</v>
      </c>
      <c r="B364" s="2" t="s">
        <v>9</v>
      </c>
      <c r="C364" s="2" t="s">
        <v>238</v>
      </c>
      <c r="D364" s="2" t="s">
        <v>11</v>
      </c>
      <c r="E364" s="39" t="s">
        <v>396</v>
      </c>
      <c r="F364" s="40" t="str">
        <f>DailyCompletionTable[[#This Row],[TABLE_NAME]]&amp;DailyCompletionTable[[#This Row],[PROCESS_DATE]]</f>
        <v>VIPOAJT2021-01-29</v>
      </c>
      <c r="G364" s="41">
        <f>DATE(LEFT(DailyCompletionTable[[#This Row],[PROCESS_DATE]],4),MID(DailyCompletionTable[[#This Row],[PROCESS_DATE]],6,2),MID(DailyCompletionTable[[#This Row],[PROCESS_DATE]],9,2))</f>
        <v>44225</v>
      </c>
      <c r="H36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44224.848807870374</v>
      </c>
    </row>
    <row r="365" spans="1:8" x14ac:dyDescent="0.3">
      <c r="A365" s="2" t="s">
        <v>369</v>
      </c>
      <c r="B365" s="2" t="s">
        <v>9</v>
      </c>
      <c r="C365" s="2" t="s">
        <v>240</v>
      </c>
      <c r="D365" s="2" t="s">
        <v>11</v>
      </c>
      <c r="E365" s="39" t="s">
        <v>396</v>
      </c>
      <c r="F365" s="40" t="str">
        <f>DailyCompletionTable[[#This Row],[TABLE_NAME]]&amp;DailyCompletionTable[[#This Row],[PROCESS_DATE]]</f>
        <v>VIPOAOT2021-01-29</v>
      </c>
      <c r="G365" s="41">
        <f>DATE(LEFT(DailyCompletionTable[[#This Row],[PROCESS_DATE]],4),MID(DailyCompletionTable[[#This Row],[PROCESS_DATE]],6,2),MID(DailyCompletionTable[[#This Row],[PROCESS_DATE]],9,2))</f>
        <v>44225</v>
      </c>
      <c r="H36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44224.848807870374</v>
      </c>
    </row>
    <row r="366" spans="1:8" x14ac:dyDescent="0.3">
      <c r="A366" s="2" t="s">
        <v>369</v>
      </c>
      <c r="B366" s="2" t="s">
        <v>9</v>
      </c>
      <c r="C366" s="2" t="s">
        <v>241</v>
      </c>
      <c r="D366" s="2" t="s">
        <v>11</v>
      </c>
      <c r="E366" s="39" t="s">
        <v>441</v>
      </c>
      <c r="F366" s="40" t="str">
        <f>DailyCompletionTable[[#This Row],[TABLE_NAME]]&amp;DailyCompletionTable[[#This Row],[PROCESS_DATE]]</f>
        <v>VIPOC1T2021-01-29</v>
      </c>
      <c r="G366" s="41">
        <f>DATE(LEFT(DailyCompletionTable[[#This Row],[PROCESS_DATE]],4),MID(DailyCompletionTable[[#This Row],[PROCESS_DATE]],6,2),MID(DailyCompletionTable[[#This Row],[PROCESS_DATE]],9,2))</f>
        <v>44225</v>
      </c>
      <c r="H36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44224.844722222224</v>
      </c>
    </row>
    <row r="367" spans="1:8" x14ac:dyDescent="0.3">
      <c r="A367" s="2" t="s">
        <v>369</v>
      </c>
      <c r="B367" s="2" t="s">
        <v>9</v>
      </c>
      <c r="C367" s="2" t="s">
        <v>243</v>
      </c>
      <c r="D367" s="2" t="s">
        <v>11</v>
      </c>
      <c r="E367" s="39" t="s">
        <v>442</v>
      </c>
      <c r="F367" s="40" t="str">
        <f>DailyCompletionTable[[#This Row],[TABLE_NAME]]&amp;DailyCompletionTable[[#This Row],[PROCESS_DATE]]</f>
        <v>VIPOCIT2021-01-29</v>
      </c>
      <c r="G367" s="41">
        <f>DATE(LEFT(DailyCompletionTable[[#This Row],[PROCESS_DATE]],4),MID(DailyCompletionTable[[#This Row],[PROCESS_DATE]],6,2),MID(DailyCompletionTable[[#This Row],[PROCESS_DATE]],9,2))</f>
        <v>44225</v>
      </c>
      <c r="H36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44224.95208333333</v>
      </c>
    </row>
    <row r="368" spans="1:8" x14ac:dyDescent="0.3">
      <c r="A368" s="2" t="s">
        <v>369</v>
      </c>
      <c r="B368" s="2" t="s">
        <v>9</v>
      </c>
      <c r="C368" s="2" t="s">
        <v>245</v>
      </c>
      <c r="D368" s="2" t="s">
        <v>11</v>
      </c>
      <c r="E368" s="39" t="s">
        <v>443</v>
      </c>
      <c r="F368" s="40" t="str">
        <f>DailyCompletionTable[[#This Row],[TABLE_NAME]]&amp;DailyCompletionTable[[#This Row],[PROCESS_DATE]]</f>
        <v>VIPOCLT2021-01-29</v>
      </c>
      <c r="G368" s="41">
        <f>DATE(LEFT(DailyCompletionTable[[#This Row],[PROCESS_DATE]],4),MID(DailyCompletionTable[[#This Row],[PROCESS_DATE]],6,2),MID(DailyCompletionTable[[#This Row],[PROCESS_DATE]],9,2))</f>
        <v>44225</v>
      </c>
      <c r="H36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44224.84888888889</v>
      </c>
    </row>
    <row r="369" spans="1:8" x14ac:dyDescent="0.3">
      <c r="A369" s="2" t="s">
        <v>369</v>
      </c>
      <c r="B369" s="2" t="s">
        <v>9</v>
      </c>
      <c r="C369" s="2" t="s">
        <v>247</v>
      </c>
      <c r="D369" s="2" t="s">
        <v>11</v>
      </c>
      <c r="E369" s="39" t="s">
        <v>444</v>
      </c>
      <c r="F369" s="40" t="str">
        <f>DailyCompletionTable[[#This Row],[TABLE_NAME]]&amp;DailyCompletionTable[[#This Row],[PROCESS_DATE]]</f>
        <v>VIPOCRT2021-01-29</v>
      </c>
      <c r="G369" s="41">
        <f>DATE(LEFT(DailyCompletionTable[[#This Row],[PROCESS_DATE]],4),MID(DailyCompletionTable[[#This Row],[PROCESS_DATE]],6,2),MID(DailyCompletionTable[[#This Row],[PROCESS_DATE]],9,2))</f>
        <v>44225</v>
      </c>
      <c r="H36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44224.848935185182</v>
      </c>
    </row>
    <row r="370" spans="1:8" x14ac:dyDescent="0.3">
      <c r="A370" s="2" t="s">
        <v>369</v>
      </c>
      <c r="B370" s="2" t="s">
        <v>9</v>
      </c>
      <c r="C370" s="2" t="s">
        <v>249</v>
      </c>
      <c r="D370" s="2" t="s">
        <v>11</v>
      </c>
      <c r="E370" s="39" t="s">
        <v>445</v>
      </c>
      <c r="F370" s="40" t="str">
        <f>DailyCompletionTable[[#This Row],[TABLE_NAME]]&amp;DailyCompletionTable[[#This Row],[PROCESS_DATE]]</f>
        <v>VIPODIT2021-01-29</v>
      </c>
      <c r="G370" s="41">
        <f>DATE(LEFT(DailyCompletionTable[[#This Row],[PROCESS_DATE]],4),MID(DailyCompletionTable[[#This Row],[PROCESS_DATE]],6,2),MID(DailyCompletionTable[[#This Row],[PROCESS_DATE]],9,2))</f>
        <v>44225</v>
      </c>
      <c r="H37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44224.870798611111</v>
      </c>
    </row>
    <row r="371" spans="1:8" x14ac:dyDescent="0.3">
      <c r="A371" s="2" t="s">
        <v>369</v>
      </c>
      <c r="B371" s="2" t="s">
        <v>9</v>
      </c>
      <c r="C371" s="2" t="s">
        <v>251</v>
      </c>
      <c r="D371" s="2" t="s">
        <v>11</v>
      </c>
      <c r="E371" s="39" t="s">
        <v>446</v>
      </c>
      <c r="F371" s="40" t="str">
        <f>DailyCompletionTable[[#This Row],[TABLE_NAME]]&amp;DailyCompletionTable[[#This Row],[PROCESS_DATE]]</f>
        <v>VIPODST2021-01-29</v>
      </c>
      <c r="G371" s="41">
        <f>DATE(LEFT(DailyCompletionTable[[#This Row],[PROCESS_DATE]],4),MID(DailyCompletionTable[[#This Row],[PROCESS_DATE]],6,2),MID(DailyCompletionTable[[#This Row],[PROCESS_DATE]],9,2))</f>
        <v>44225</v>
      </c>
      <c r="H37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44224.848622685182</v>
      </c>
    </row>
    <row r="372" spans="1:8" x14ac:dyDescent="0.3">
      <c r="A372" s="2" t="s">
        <v>369</v>
      </c>
      <c r="B372" s="2" t="s">
        <v>9</v>
      </c>
      <c r="C372" s="2" t="s">
        <v>252</v>
      </c>
      <c r="D372" s="2" t="s">
        <v>11</v>
      </c>
      <c r="E372" s="39" t="s">
        <v>388</v>
      </c>
      <c r="F372" s="40" t="str">
        <f>DailyCompletionTable[[#This Row],[TABLE_NAME]]&amp;DailyCompletionTable[[#This Row],[PROCESS_DATE]]</f>
        <v>VIPOHIT2021-01-29</v>
      </c>
      <c r="G372" s="41">
        <f>DATE(LEFT(DailyCompletionTable[[#This Row],[PROCESS_DATE]],4),MID(DailyCompletionTable[[#This Row],[PROCESS_DATE]],6,2),MID(DailyCompletionTable[[#This Row],[PROCESS_DATE]],9,2))</f>
        <v>44225</v>
      </c>
      <c r="H37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44224.848553240743</v>
      </c>
    </row>
    <row r="373" spans="1:8" x14ac:dyDescent="0.3">
      <c r="A373" s="2" t="s">
        <v>369</v>
      </c>
      <c r="B373" s="2" t="s">
        <v>9</v>
      </c>
      <c r="C373" s="2" t="s">
        <v>253</v>
      </c>
      <c r="D373" s="2" t="s">
        <v>11</v>
      </c>
      <c r="E373" s="39" t="s">
        <v>447</v>
      </c>
      <c r="F373" s="40" t="str">
        <f>DailyCompletionTable[[#This Row],[TABLE_NAME]]&amp;DailyCompletionTable[[#This Row],[PROCESS_DATE]]</f>
        <v>VIPOJAT2021-01-29</v>
      </c>
      <c r="G373" s="41">
        <f>DATE(LEFT(DailyCompletionTable[[#This Row],[PROCESS_DATE]],4),MID(DailyCompletionTable[[#This Row],[PROCESS_DATE]],6,2),MID(DailyCompletionTable[[#This Row],[PROCESS_DATE]],9,2))</f>
        <v>44225</v>
      </c>
      <c r="H37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44224.848657407405</v>
      </c>
    </row>
    <row r="374" spans="1:8" x14ac:dyDescent="0.3">
      <c r="A374" s="2" t="s">
        <v>369</v>
      </c>
      <c r="B374" s="2" t="s">
        <v>9</v>
      </c>
      <c r="C374" s="2" t="s">
        <v>254</v>
      </c>
      <c r="D374" s="2" t="s">
        <v>11</v>
      </c>
      <c r="E374" s="39" t="s">
        <v>447</v>
      </c>
      <c r="F374" s="40" t="str">
        <f>DailyCompletionTable[[#This Row],[TABLE_NAME]]&amp;DailyCompletionTable[[#This Row],[PROCESS_DATE]]</f>
        <v>VIPOJBT2021-01-29</v>
      </c>
      <c r="G374" s="41">
        <f>DATE(LEFT(DailyCompletionTable[[#This Row],[PROCESS_DATE]],4),MID(DailyCompletionTable[[#This Row],[PROCESS_DATE]],6,2),MID(DailyCompletionTable[[#This Row],[PROCESS_DATE]],9,2))</f>
        <v>44225</v>
      </c>
      <c r="H37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44224.848657407405</v>
      </c>
    </row>
    <row r="375" spans="1:8" x14ac:dyDescent="0.3">
      <c r="A375" s="2" t="s">
        <v>369</v>
      </c>
      <c r="B375" s="2" t="s">
        <v>9</v>
      </c>
      <c r="C375" s="2" t="s">
        <v>255</v>
      </c>
      <c r="D375" s="2" t="s">
        <v>11</v>
      </c>
      <c r="E375" s="39" t="s">
        <v>448</v>
      </c>
      <c r="F375" s="40" t="str">
        <f>DailyCompletionTable[[#This Row],[TABLE_NAME]]&amp;DailyCompletionTable[[#This Row],[PROCESS_DATE]]</f>
        <v>VIPOJCT2021-01-29</v>
      </c>
      <c r="G375" s="41">
        <f>DATE(LEFT(DailyCompletionTable[[#This Row],[PROCESS_DATE]],4),MID(DailyCompletionTable[[#This Row],[PROCESS_DATE]],6,2),MID(DailyCompletionTable[[#This Row],[PROCESS_DATE]],9,2))</f>
        <v>44225</v>
      </c>
      <c r="H37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44225.091400462959</v>
      </c>
    </row>
    <row r="376" spans="1:8" x14ac:dyDescent="0.3">
      <c r="A376" s="2" t="s">
        <v>369</v>
      </c>
      <c r="B376" s="2" t="s">
        <v>9</v>
      </c>
      <c r="C376" s="2" t="s">
        <v>256</v>
      </c>
      <c r="D376" s="2" t="s">
        <v>11</v>
      </c>
      <c r="E376" s="39" t="s">
        <v>447</v>
      </c>
      <c r="F376" s="40" t="str">
        <f>DailyCompletionTable[[#This Row],[TABLE_NAME]]&amp;DailyCompletionTable[[#This Row],[PROCESS_DATE]]</f>
        <v>VIPOJNT2021-01-29</v>
      </c>
      <c r="G376" s="41">
        <f>DATE(LEFT(DailyCompletionTable[[#This Row],[PROCESS_DATE]],4),MID(DailyCompletionTable[[#This Row],[PROCESS_DATE]],6,2),MID(DailyCompletionTable[[#This Row],[PROCESS_DATE]],9,2))</f>
        <v>44225</v>
      </c>
      <c r="H37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44224.848657407405</v>
      </c>
    </row>
    <row r="377" spans="1:8" x14ac:dyDescent="0.3">
      <c r="A377" s="2" t="s">
        <v>369</v>
      </c>
      <c r="B377" s="2" t="s">
        <v>9</v>
      </c>
      <c r="C377" s="2" t="s">
        <v>257</v>
      </c>
      <c r="D377" s="2" t="s">
        <v>11</v>
      </c>
      <c r="E377" s="39" t="s">
        <v>449</v>
      </c>
      <c r="F377" s="40" t="str">
        <f>DailyCompletionTable[[#This Row],[TABLE_NAME]]&amp;DailyCompletionTable[[#This Row],[PROCESS_DATE]]</f>
        <v>VIPOOIT2021-01-29</v>
      </c>
      <c r="G377" s="41">
        <f>DATE(LEFT(DailyCompletionTable[[#This Row],[PROCESS_DATE]],4),MID(DailyCompletionTable[[#This Row],[PROCESS_DATE]],6,2),MID(DailyCompletionTable[[#This Row],[PROCESS_DATE]],9,2))</f>
        <v>44225</v>
      </c>
      <c r="H37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44224.907361111109</v>
      </c>
    </row>
    <row r="378" spans="1:8" x14ac:dyDescent="0.3">
      <c r="A378" s="2" t="s">
        <v>369</v>
      </c>
      <c r="B378" s="2" t="s">
        <v>9</v>
      </c>
      <c r="C378" s="2" t="s">
        <v>259</v>
      </c>
      <c r="D378" s="2" t="s">
        <v>11</v>
      </c>
      <c r="E378" s="39" t="s">
        <v>443</v>
      </c>
      <c r="F378" s="40" t="str">
        <f>DailyCompletionTable[[#This Row],[TABLE_NAME]]&amp;DailyCompletionTable[[#This Row],[PROCESS_DATE]]</f>
        <v>VIPOOLT2021-01-29</v>
      </c>
      <c r="G378" s="41">
        <f>DATE(LEFT(DailyCompletionTable[[#This Row],[PROCESS_DATE]],4),MID(DailyCompletionTable[[#This Row],[PROCESS_DATE]],6,2),MID(DailyCompletionTable[[#This Row],[PROCESS_DATE]],9,2))</f>
        <v>44225</v>
      </c>
      <c r="H37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44224.84888888889</v>
      </c>
    </row>
    <row r="379" spans="1:8" x14ac:dyDescent="0.3">
      <c r="A379" s="2" t="s">
        <v>369</v>
      </c>
      <c r="B379" s="2" t="s">
        <v>9</v>
      </c>
      <c r="C379" s="2" t="s">
        <v>260</v>
      </c>
      <c r="D379" s="2" t="s">
        <v>11</v>
      </c>
      <c r="E379" s="39" t="s">
        <v>444</v>
      </c>
      <c r="F379" s="40" t="str">
        <f>DailyCompletionTable[[#This Row],[TABLE_NAME]]&amp;DailyCompletionTable[[#This Row],[PROCESS_DATE]]</f>
        <v>VIPOORT2021-01-29</v>
      </c>
      <c r="G379" s="41">
        <f>DATE(LEFT(DailyCompletionTable[[#This Row],[PROCESS_DATE]],4),MID(DailyCompletionTable[[#This Row],[PROCESS_DATE]],6,2),MID(DailyCompletionTable[[#This Row],[PROCESS_DATE]],9,2))</f>
        <v>44225</v>
      </c>
      <c r="H37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44224.848935185182</v>
      </c>
    </row>
    <row r="380" spans="1:8" x14ac:dyDescent="0.3">
      <c r="A380" s="2" t="s">
        <v>369</v>
      </c>
      <c r="B380" s="2" t="s">
        <v>9</v>
      </c>
      <c r="C380" s="2" t="s">
        <v>261</v>
      </c>
      <c r="D380" s="2" t="s">
        <v>11</v>
      </c>
      <c r="E380" s="39" t="s">
        <v>450</v>
      </c>
      <c r="F380" s="40" t="str">
        <f>DailyCompletionTable[[#This Row],[TABLE_NAME]]&amp;DailyCompletionTable[[#This Row],[PROCESS_DATE]]</f>
        <v>VIPOPET2021-01-29</v>
      </c>
      <c r="G380" s="41">
        <f>DATE(LEFT(DailyCompletionTable[[#This Row],[PROCESS_DATE]],4),MID(DailyCompletionTable[[#This Row],[PROCESS_DATE]],6,2),MID(DailyCompletionTable[[#This Row],[PROCESS_DATE]],9,2))</f>
        <v>44225</v>
      </c>
      <c r="H38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44224.848287037035</v>
      </c>
    </row>
    <row r="381" spans="1:8" x14ac:dyDescent="0.3">
      <c r="A381" s="2" t="s">
        <v>369</v>
      </c>
      <c r="B381" s="2" t="s">
        <v>9</v>
      </c>
      <c r="C381" s="2" t="s">
        <v>263</v>
      </c>
      <c r="D381" s="2" t="s">
        <v>11</v>
      </c>
      <c r="E381" s="39" t="s">
        <v>451</v>
      </c>
      <c r="F381" s="40" t="str">
        <f>DailyCompletionTable[[#This Row],[TABLE_NAME]]&amp;DailyCompletionTable[[#This Row],[PROCESS_DATE]]</f>
        <v>VIPOPIT2021-01-29</v>
      </c>
      <c r="G381" s="41">
        <f>DATE(LEFT(DailyCompletionTable[[#This Row],[PROCESS_DATE]],4),MID(DailyCompletionTable[[#This Row],[PROCESS_DATE]],6,2),MID(DailyCompletionTable[[#This Row],[PROCESS_DATE]],9,2))</f>
        <v>44225</v>
      </c>
      <c r="H38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44224.848946759259</v>
      </c>
    </row>
    <row r="382" spans="1:8" x14ac:dyDescent="0.3">
      <c r="A382" s="2" t="s">
        <v>369</v>
      </c>
      <c r="B382" s="2" t="s">
        <v>9</v>
      </c>
      <c r="C382" s="2" t="s">
        <v>265</v>
      </c>
      <c r="D382" s="2" t="s">
        <v>11</v>
      </c>
      <c r="E382" s="39" t="s">
        <v>416</v>
      </c>
      <c r="F382" s="40" t="str">
        <f>DailyCompletionTable[[#This Row],[TABLE_NAME]]&amp;DailyCompletionTable[[#This Row],[PROCESS_DATE]]</f>
        <v>VIPOPPT2021-01-29</v>
      </c>
      <c r="G382" s="41">
        <f>DATE(LEFT(DailyCompletionTable[[#This Row],[PROCESS_DATE]],4),MID(DailyCompletionTable[[#This Row],[PROCESS_DATE]],6,2),MID(DailyCompletionTable[[#This Row],[PROCESS_DATE]],9,2))</f>
        <v>44225</v>
      </c>
      <c r="H38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44224.848506944443</v>
      </c>
    </row>
    <row r="383" spans="1:8" x14ac:dyDescent="0.3">
      <c r="A383" s="2" t="s">
        <v>369</v>
      </c>
      <c r="B383" s="2" t="s">
        <v>9</v>
      </c>
      <c r="C383" s="2" t="s">
        <v>267</v>
      </c>
      <c r="D383" s="2" t="s">
        <v>11</v>
      </c>
      <c r="E383" s="39" t="s">
        <v>452</v>
      </c>
      <c r="F383" s="40" t="str">
        <f>DailyCompletionTable[[#This Row],[TABLE_NAME]]&amp;DailyCompletionTable[[#This Row],[PROCESS_DATE]]</f>
        <v>VIPORET2021-01-29</v>
      </c>
      <c r="G383" s="41">
        <f>DATE(LEFT(DailyCompletionTable[[#This Row],[PROCESS_DATE]],4),MID(DailyCompletionTable[[#This Row],[PROCESS_DATE]],6,2),MID(DailyCompletionTable[[#This Row],[PROCESS_DATE]],9,2))</f>
        <v>44225</v>
      </c>
      <c r="H38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44224.864351851851</v>
      </c>
    </row>
    <row r="384" spans="1:8" x14ac:dyDescent="0.3">
      <c r="A384" s="2" t="s">
        <v>369</v>
      </c>
      <c r="B384" s="2" t="s">
        <v>9</v>
      </c>
      <c r="C384" s="2" t="s">
        <v>269</v>
      </c>
      <c r="D384" s="2" t="s">
        <v>11</v>
      </c>
      <c r="E384" s="39" t="s">
        <v>453</v>
      </c>
      <c r="F384" s="40" t="str">
        <f>DailyCompletionTable[[#This Row],[TABLE_NAME]]&amp;DailyCompletionTable[[#This Row],[PROCESS_DATE]]</f>
        <v>VIPOSIT2021-01-29</v>
      </c>
      <c r="G384" s="41">
        <f>DATE(LEFT(DailyCompletionTable[[#This Row],[PROCESS_DATE]],4),MID(DailyCompletionTable[[#This Row],[PROCESS_DATE]],6,2),MID(DailyCompletionTable[[#This Row],[PROCESS_DATE]],9,2))</f>
        <v>44225</v>
      </c>
      <c r="H38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44224.94027777778</v>
      </c>
    </row>
    <row r="385" spans="1:8" x14ac:dyDescent="0.3">
      <c r="A385" s="2" t="s">
        <v>369</v>
      </c>
      <c r="B385" s="2" t="s">
        <v>9</v>
      </c>
      <c r="C385" s="2" t="s">
        <v>271</v>
      </c>
      <c r="D385" s="2" t="s">
        <v>11</v>
      </c>
      <c r="E385" s="39" t="s">
        <v>454</v>
      </c>
      <c r="F385" s="40" t="str">
        <f>DailyCompletionTable[[#This Row],[TABLE_NAME]]&amp;DailyCompletionTable[[#This Row],[PROCESS_DATE]]</f>
        <v>VIPOTBT2021-01-29</v>
      </c>
      <c r="G385" s="41">
        <f>DATE(LEFT(DailyCompletionTable[[#This Row],[PROCESS_DATE]],4),MID(DailyCompletionTable[[#This Row],[PROCESS_DATE]],6,2),MID(DailyCompletionTable[[#This Row],[PROCESS_DATE]],9,2))</f>
        <v>44225</v>
      </c>
      <c r="H38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44225.089918981481</v>
      </c>
    </row>
    <row r="386" spans="1:8" x14ac:dyDescent="0.3">
      <c r="A386" s="2" t="s">
        <v>369</v>
      </c>
      <c r="B386" s="2" t="s">
        <v>9</v>
      </c>
      <c r="C386" s="2" t="s">
        <v>272</v>
      </c>
      <c r="D386" s="2" t="s">
        <v>11</v>
      </c>
      <c r="E386" s="39" t="s">
        <v>428</v>
      </c>
      <c r="F386" s="40" t="str">
        <f>DailyCompletionTable[[#This Row],[TABLE_NAME]]&amp;DailyCompletionTable[[#This Row],[PROCESS_DATE]]</f>
        <v>VIPOTDT2021-01-29</v>
      </c>
      <c r="G386" s="41">
        <f>DATE(LEFT(DailyCompletionTable[[#This Row],[PROCESS_DATE]],4),MID(DailyCompletionTable[[#This Row],[PROCESS_DATE]],6,2),MID(DailyCompletionTable[[#This Row],[PROCESS_DATE]],9,2))</f>
        <v>44225</v>
      </c>
      <c r="H38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44225.089907407404</v>
      </c>
    </row>
    <row r="387" spans="1:8" x14ac:dyDescent="0.3">
      <c r="A387" s="2" t="s">
        <v>369</v>
      </c>
      <c r="B387" s="2" t="s">
        <v>9</v>
      </c>
      <c r="C387" s="2" t="s">
        <v>274</v>
      </c>
      <c r="D387" s="2" t="s">
        <v>11</v>
      </c>
      <c r="E387" s="39" t="s">
        <v>443</v>
      </c>
      <c r="F387" s="40" t="str">
        <f>DailyCompletionTable[[#This Row],[TABLE_NAME]]&amp;DailyCompletionTable[[#This Row],[PROCESS_DATE]]</f>
        <v>VIPOTLT2021-01-29</v>
      </c>
      <c r="G387" s="41">
        <f>DATE(LEFT(DailyCompletionTable[[#This Row],[PROCESS_DATE]],4),MID(DailyCompletionTable[[#This Row],[PROCESS_DATE]],6,2),MID(DailyCompletionTable[[#This Row],[PROCESS_DATE]],9,2))</f>
        <v>44225</v>
      </c>
      <c r="H38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44224.84888888889</v>
      </c>
    </row>
    <row r="388" spans="1:8" x14ac:dyDescent="0.3">
      <c r="A388" s="2" t="s">
        <v>369</v>
      </c>
      <c r="B388" s="2" t="s">
        <v>9</v>
      </c>
      <c r="C388" s="2" t="s">
        <v>275</v>
      </c>
      <c r="D388" s="2" t="s">
        <v>11</v>
      </c>
      <c r="E388" s="39" t="s">
        <v>444</v>
      </c>
      <c r="F388" s="40" t="str">
        <f>DailyCompletionTable[[#This Row],[TABLE_NAME]]&amp;DailyCompletionTable[[#This Row],[PROCESS_DATE]]</f>
        <v>VIPOTRT2021-01-29</v>
      </c>
      <c r="G388" s="41">
        <f>DATE(LEFT(DailyCompletionTable[[#This Row],[PROCESS_DATE]],4),MID(DailyCompletionTable[[#This Row],[PROCESS_DATE]],6,2),MID(DailyCompletionTable[[#This Row],[PROCESS_DATE]],9,2))</f>
        <v>44225</v>
      </c>
      <c r="H38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44224.848935185182</v>
      </c>
    </row>
    <row r="389" spans="1:8" x14ac:dyDescent="0.3">
      <c r="A389" s="2" t="s">
        <v>369</v>
      </c>
      <c r="B389" s="2" t="s">
        <v>9</v>
      </c>
      <c r="C389" s="2" t="s">
        <v>276</v>
      </c>
      <c r="D389" s="2" t="s">
        <v>11</v>
      </c>
      <c r="E389" s="39" t="s">
        <v>455</v>
      </c>
      <c r="F389" s="40" t="str">
        <f>DailyCompletionTable[[#This Row],[TABLE_NAME]]&amp;DailyCompletionTable[[#This Row],[PROCESS_DATE]]</f>
        <v>VIPPAJT2021-01-29</v>
      </c>
      <c r="G389" s="41">
        <f>DATE(LEFT(DailyCompletionTable[[#This Row],[PROCESS_DATE]],4),MID(DailyCompletionTable[[#This Row],[PROCESS_DATE]],6,2),MID(DailyCompletionTable[[#This Row],[PROCESS_DATE]],9,2))</f>
        <v>44225</v>
      </c>
      <c r="H38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44224.929861111108</v>
      </c>
    </row>
    <row r="390" spans="1:8" x14ac:dyDescent="0.3">
      <c r="A390" s="2" t="s">
        <v>369</v>
      </c>
      <c r="B390" s="2" t="s">
        <v>9</v>
      </c>
      <c r="C390" s="2" t="s">
        <v>278</v>
      </c>
      <c r="D390" s="2" t="s">
        <v>11</v>
      </c>
      <c r="E390" s="39" t="s">
        <v>387</v>
      </c>
      <c r="F390" s="40" t="str">
        <f>DailyCompletionTable[[#This Row],[TABLE_NAME]]&amp;DailyCompletionTable[[#This Row],[PROCESS_DATE]]</f>
        <v>VIPPART2021-01-29</v>
      </c>
      <c r="G390" s="41">
        <f>DATE(LEFT(DailyCompletionTable[[#This Row],[PROCESS_DATE]],4),MID(DailyCompletionTable[[#This Row],[PROCESS_DATE]],6,2),MID(DailyCompletionTable[[#This Row],[PROCESS_DATE]],9,2))</f>
        <v>44225</v>
      </c>
      <c r="H39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44224.857685185183</v>
      </c>
    </row>
    <row r="391" spans="1:8" x14ac:dyDescent="0.3">
      <c r="A391" s="2" t="s">
        <v>369</v>
      </c>
      <c r="B391" s="2" t="s">
        <v>9</v>
      </c>
      <c r="C391" s="2" t="s">
        <v>280</v>
      </c>
      <c r="D391" s="2" t="s">
        <v>11</v>
      </c>
      <c r="E391" s="39" t="s">
        <v>450</v>
      </c>
      <c r="F391" s="40" t="str">
        <f>DailyCompletionTable[[#This Row],[TABLE_NAME]]&amp;DailyCompletionTable[[#This Row],[PROCESS_DATE]]</f>
        <v>VIPPDAT2021-01-29</v>
      </c>
      <c r="G391" s="41">
        <f>DATE(LEFT(DailyCompletionTable[[#This Row],[PROCESS_DATE]],4),MID(DailyCompletionTable[[#This Row],[PROCESS_DATE]],6,2),MID(DailyCompletionTable[[#This Row],[PROCESS_DATE]],9,2))</f>
        <v>44225</v>
      </c>
      <c r="H39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44224.848287037035</v>
      </c>
    </row>
    <row r="392" spans="1:8" x14ac:dyDescent="0.3">
      <c r="A392" s="2" t="s">
        <v>369</v>
      </c>
      <c r="B392" s="2" t="s">
        <v>9</v>
      </c>
      <c r="C392" s="2" t="s">
        <v>281</v>
      </c>
      <c r="D392" s="2" t="s">
        <v>11</v>
      </c>
      <c r="E392" s="39" t="s">
        <v>416</v>
      </c>
      <c r="F392" s="40" t="str">
        <f>DailyCompletionTable[[#This Row],[TABLE_NAME]]&amp;DailyCompletionTable[[#This Row],[PROCESS_DATE]]</f>
        <v>VIPPLCT2021-01-29</v>
      </c>
      <c r="G392" s="41">
        <f>DATE(LEFT(DailyCompletionTable[[#This Row],[PROCESS_DATE]],4),MID(DailyCompletionTable[[#This Row],[PROCESS_DATE]],6,2),MID(DailyCompletionTable[[#This Row],[PROCESS_DATE]],9,2))</f>
        <v>44225</v>
      </c>
      <c r="H39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44224.848506944443</v>
      </c>
    </row>
    <row r="393" spans="1:8" x14ac:dyDescent="0.3">
      <c r="A393" s="2" t="s">
        <v>369</v>
      </c>
      <c r="B393" s="2" t="s">
        <v>9</v>
      </c>
      <c r="C393" s="2" t="s">
        <v>282</v>
      </c>
      <c r="D393" s="2" t="s">
        <v>11</v>
      </c>
      <c r="E393" s="39" t="s">
        <v>283</v>
      </c>
      <c r="F393" s="40" t="str">
        <f>DailyCompletionTable[[#This Row],[TABLE_NAME]]&amp;DailyCompletionTable[[#This Row],[PROCESS_DATE]]</f>
        <v>VIPRQBT2021-01-29</v>
      </c>
      <c r="G393" s="41">
        <f>DATE(LEFT(DailyCompletionTable[[#This Row],[PROCESS_DATE]],4),MID(DailyCompletionTable[[#This Row],[PROCESS_DATE]],6,2),MID(DailyCompletionTable[[#This Row],[PROCESS_DATE]],9,2))</f>
        <v>44225</v>
      </c>
      <c r="H39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44224.85670138889</v>
      </c>
    </row>
    <row r="394" spans="1:8" x14ac:dyDescent="0.3">
      <c r="A394" s="2" t="s">
        <v>369</v>
      </c>
      <c r="B394" s="2" t="s">
        <v>9</v>
      </c>
      <c r="C394" s="2" t="s">
        <v>284</v>
      </c>
      <c r="D394" s="2" t="s">
        <v>11</v>
      </c>
      <c r="E394" s="39" t="s">
        <v>285</v>
      </c>
      <c r="F394" s="40" t="str">
        <f>DailyCompletionTable[[#This Row],[TABLE_NAME]]&amp;DailyCompletionTable[[#This Row],[PROCESS_DATE]]</f>
        <v>VIPRQST2021-01-29</v>
      </c>
      <c r="G394" s="41">
        <f>DATE(LEFT(DailyCompletionTable[[#This Row],[PROCESS_DATE]],4),MID(DailyCompletionTable[[#This Row],[PROCESS_DATE]],6,2),MID(DailyCompletionTable[[#This Row],[PROCESS_DATE]],9,2))</f>
        <v>44225</v>
      </c>
      <c r="H39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44224.854710648149</v>
      </c>
    </row>
    <row r="395" spans="1:8" x14ac:dyDescent="0.3">
      <c r="A395" s="2" t="s">
        <v>369</v>
      </c>
      <c r="B395" s="2" t="s">
        <v>9</v>
      </c>
      <c r="C395" s="2" t="s">
        <v>286</v>
      </c>
      <c r="D395" s="2" t="s">
        <v>70</v>
      </c>
      <c r="E395" s="39" t="s">
        <v>456</v>
      </c>
      <c r="F395" s="40" t="str">
        <f>DailyCompletionTable[[#This Row],[TABLE_NAME]]&amp;DailyCompletionTable[[#This Row],[PROCESS_DATE]]</f>
        <v>VIPRTYT2021-01-22</v>
      </c>
      <c r="G395" s="41">
        <f>DATE(LEFT(DailyCompletionTable[[#This Row],[PROCESS_DATE]],4),MID(DailyCompletionTable[[#This Row],[PROCESS_DATE]],6,2),MID(DailyCompletionTable[[#This Row],[PROCESS_DATE]],9,2))</f>
        <v>44218</v>
      </c>
      <c r="H39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44218.230162037034</v>
      </c>
    </row>
    <row r="396" spans="1:8" x14ac:dyDescent="0.3">
      <c r="A396" s="2" t="s">
        <v>369</v>
      </c>
      <c r="B396" s="2" t="s">
        <v>9</v>
      </c>
      <c r="C396" s="2" t="s">
        <v>288</v>
      </c>
      <c r="D396" s="2" t="s">
        <v>11</v>
      </c>
      <c r="E396" s="39" t="s">
        <v>12</v>
      </c>
      <c r="F396" s="40" t="str">
        <f>DailyCompletionTable[[#This Row],[TABLE_NAME]]&amp;DailyCompletionTable[[#This Row],[PROCESS_DATE]]</f>
        <v>VIPSACT2021-01-29</v>
      </c>
      <c r="G396" s="41">
        <f>DATE(LEFT(DailyCompletionTable[[#This Row],[PROCESS_DATE]],4),MID(DailyCompletionTable[[#This Row],[PROCESS_DATE]],6,2),MID(DailyCompletionTable[[#This Row],[PROCESS_DATE]],9,2))</f>
        <v>44225</v>
      </c>
      <c r="H39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44224.858472222222</v>
      </c>
    </row>
    <row r="397" spans="1:8" x14ac:dyDescent="0.3">
      <c r="A397" s="2" t="s">
        <v>369</v>
      </c>
      <c r="B397" s="2" t="s">
        <v>9</v>
      </c>
      <c r="C397" s="2" t="s">
        <v>290</v>
      </c>
      <c r="D397" s="2" t="s">
        <v>11</v>
      </c>
      <c r="E397" s="39" t="s">
        <v>430</v>
      </c>
      <c r="F397" s="40" t="str">
        <f>DailyCompletionTable[[#This Row],[TABLE_NAME]]&amp;DailyCompletionTable[[#This Row],[PROCESS_DATE]]</f>
        <v>VIPSB2T2021-01-29</v>
      </c>
      <c r="G397" s="41">
        <f>DATE(LEFT(DailyCompletionTable[[#This Row],[PROCESS_DATE]],4),MID(DailyCompletionTable[[#This Row],[PROCESS_DATE]],6,2),MID(DailyCompletionTable[[#This Row],[PROCESS_DATE]],9,2))</f>
        <v>44225</v>
      </c>
      <c r="H39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44224.917557870373</v>
      </c>
    </row>
    <row r="398" spans="1:8" x14ac:dyDescent="0.3">
      <c r="A398" s="2" t="s">
        <v>369</v>
      </c>
      <c r="B398" s="2" t="s">
        <v>9</v>
      </c>
      <c r="C398" s="2" t="s">
        <v>291</v>
      </c>
      <c r="D398" s="2" t="s">
        <v>11</v>
      </c>
      <c r="E398" s="39" t="s">
        <v>457</v>
      </c>
      <c r="F398" s="40" t="str">
        <f>DailyCompletionTable[[#This Row],[TABLE_NAME]]&amp;DailyCompletionTable[[#This Row],[PROCESS_DATE]]</f>
        <v>VIPSBBT2021-01-29</v>
      </c>
      <c r="G398" s="41">
        <f>DATE(LEFT(DailyCompletionTable[[#This Row],[PROCESS_DATE]],4),MID(DailyCompletionTable[[#This Row],[PROCESS_DATE]],6,2),MID(DailyCompletionTable[[#This Row],[PROCESS_DATE]],9,2))</f>
        <v>44225</v>
      </c>
      <c r="H39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44224.947974537034</v>
      </c>
    </row>
    <row r="399" spans="1:8" x14ac:dyDescent="0.3">
      <c r="A399" s="2" t="s">
        <v>369</v>
      </c>
      <c r="B399" s="2" t="s">
        <v>9</v>
      </c>
      <c r="C399" s="2" t="s">
        <v>293</v>
      </c>
      <c r="D399" s="2" t="s">
        <v>11</v>
      </c>
      <c r="E399" s="39" t="s">
        <v>430</v>
      </c>
      <c r="F399" s="40" t="str">
        <f>DailyCompletionTable[[#This Row],[TABLE_NAME]]&amp;DailyCompletionTable[[#This Row],[PROCESS_DATE]]</f>
        <v>VIPSBOT2021-01-29</v>
      </c>
      <c r="G399" s="41">
        <f>DATE(LEFT(DailyCompletionTable[[#This Row],[PROCESS_DATE]],4),MID(DailyCompletionTable[[#This Row],[PROCESS_DATE]],6,2),MID(DailyCompletionTable[[#This Row],[PROCESS_DATE]],9,2))</f>
        <v>44225</v>
      </c>
      <c r="H39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44224.917557870373</v>
      </c>
    </row>
    <row r="400" spans="1:8" x14ac:dyDescent="0.3">
      <c r="A400" s="2" t="s">
        <v>369</v>
      </c>
      <c r="B400" s="2" t="s">
        <v>9</v>
      </c>
      <c r="C400" s="2" t="s">
        <v>294</v>
      </c>
      <c r="D400" s="2" t="s">
        <v>11</v>
      </c>
      <c r="E400" s="39" t="s">
        <v>430</v>
      </c>
      <c r="F400" s="40" t="str">
        <f>DailyCompletionTable[[#This Row],[TABLE_NAME]]&amp;DailyCompletionTable[[#This Row],[PROCESS_DATE]]</f>
        <v>VIPSBTT2021-01-29</v>
      </c>
      <c r="G400" s="41">
        <f>DATE(LEFT(DailyCompletionTable[[#This Row],[PROCESS_DATE]],4),MID(DailyCompletionTable[[#This Row],[PROCESS_DATE]],6,2),MID(DailyCompletionTable[[#This Row],[PROCESS_DATE]],9,2))</f>
        <v>44225</v>
      </c>
      <c r="H40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44224.917557870373</v>
      </c>
    </row>
    <row r="401" spans="1:8" x14ac:dyDescent="0.3">
      <c r="A401" s="2" t="s">
        <v>369</v>
      </c>
      <c r="B401" s="2" t="s">
        <v>9</v>
      </c>
      <c r="C401" s="2" t="s">
        <v>295</v>
      </c>
      <c r="D401" s="2" t="s">
        <v>11</v>
      </c>
      <c r="E401" s="39" t="s">
        <v>430</v>
      </c>
      <c r="F401" s="40" t="str">
        <f>DailyCompletionTable[[#This Row],[TABLE_NAME]]&amp;DailyCompletionTable[[#This Row],[PROCESS_DATE]]</f>
        <v>VIPSBUT2021-01-29</v>
      </c>
      <c r="G401" s="41">
        <f>DATE(LEFT(DailyCompletionTable[[#This Row],[PROCESS_DATE]],4),MID(DailyCompletionTable[[#This Row],[PROCESS_DATE]],6,2),MID(DailyCompletionTable[[#This Row],[PROCESS_DATE]],9,2))</f>
        <v>44225</v>
      </c>
      <c r="H40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44224.917557870373</v>
      </c>
    </row>
    <row r="402" spans="1:8" x14ac:dyDescent="0.3">
      <c r="A402" s="2" t="s">
        <v>369</v>
      </c>
      <c r="B402" s="2" t="s">
        <v>9</v>
      </c>
      <c r="C402" s="2" t="s">
        <v>296</v>
      </c>
      <c r="D402" s="2" t="s">
        <v>11</v>
      </c>
      <c r="E402" s="39" t="s">
        <v>458</v>
      </c>
      <c r="F402" s="40" t="str">
        <f>DailyCompletionTable[[#This Row],[TABLE_NAME]]&amp;DailyCompletionTable[[#This Row],[PROCESS_DATE]]</f>
        <v>VIPSCHT2021-01-29</v>
      </c>
      <c r="G402" s="41">
        <f>DATE(LEFT(DailyCompletionTable[[#This Row],[PROCESS_DATE]],4),MID(DailyCompletionTable[[#This Row],[PROCESS_DATE]],6,2),MID(DailyCompletionTable[[#This Row],[PROCESS_DATE]],9,2))</f>
        <v>44225</v>
      </c>
      <c r="H40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44224.848483796297</v>
      </c>
    </row>
    <row r="403" spans="1:8" x14ac:dyDescent="0.3">
      <c r="A403" s="2" t="s">
        <v>369</v>
      </c>
      <c r="B403" s="2" t="s">
        <v>9</v>
      </c>
      <c r="C403" s="2" t="s">
        <v>297</v>
      </c>
      <c r="D403" s="2" t="s">
        <v>11</v>
      </c>
      <c r="E403" s="39" t="s">
        <v>459</v>
      </c>
      <c r="F403" s="40" t="str">
        <f>DailyCompletionTable[[#This Row],[TABLE_NAME]]&amp;DailyCompletionTable[[#This Row],[PROCESS_DATE]]</f>
        <v>VIPSEQT2021-01-29</v>
      </c>
      <c r="G403" s="41">
        <f>DATE(LEFT(DailyCompletionTable[[#This Row],[PROCESS_DATE]],4),MID(DailyCompletionTable[[#This Row],[PROCESS_DATE]],6,2),MID(DailyCompletionTable[[#This Row],[PROCESS_DATE]],9,2))</f>
        <v>44225</v>
      </c>
      <c r="H40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44224.858449074076</v>
      </c>
    </row>
    <row r="404" spans="1:8" x14ac:dyDescent="0.3">
      <c r="A404" s="2" t="s">
        <v>369</v>
      </c>
      <c r="B404" s="2" t="s">
        <v>9</v>
      </c>
      <c r="C404" s="2" t="s">
        <v>298</v>
      </c>
      <c r="D404" s="2" t="s">
        <v>11</v>
      </c>
      <c r="E404" s="39" t="s">
        <v>460</v>
      </c>
      <c r="F404" s="40" t="str">
        <f>DailyCompletionTable[[#This Row],[TABLE_NAME]]&amp;DailyCompletionTable[[#This Row],[PROCESS_DATE]]</f>
        <v>VIPSVPT2021-01-29</v>
      </c>
      <c r="G404" s="41">
        <f>DATE(LEFT(DailyCompletionTable[[#This Row],[PROCESS_DATE]],4),MID(DailyCompletionTable[[#This Row],[PROCESS_DATE]],6,2),MID(DailyCompletionTable[[#This Row],[PROCESS_DATE]],9,2))</f>
        <v>44225</v>
      </c>
      <c r="H40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44225.090092592596</v>
      </c>
    </row>
    <row r="405" spans="1:8" x14ac:dyDescent="0.3">
      <c r="A405" s="2" t="s">
        <v>369</v>
      </c>
      <c r="B405" s="2" t="s">
        <v>9</v>
      </c>
      <c r="C405" s="2" t="s">
        <v>300</v>
      </c>
      <c r="D405" s="2" t="s">
        <v>11</v>
      </c>
      <c r="E405" s="39" t="s">
        <v>461</v>
      </c>
      <c r="F405" s="40" t="str">
        <f>DailyCompletionTable[[#This Row],[TABLE_NAME]]&amp;DailyCompletionTable[[#This Row],[PROCESS_DATE]]</f>
        <v>VIPTAST2021-01-29</v>
      </c>
      <c r="G405" s="41">
        <f>DATE(LEFT(DailyCompletionTable[[#This Row],[PROCESS_DATE]],4),MID(DailyCompletionTable[[#This Row],[PROCESS_DATE]],6,2),MID(DailyCompletionTable[[#This Row],[PROCESS_DATE]],9,2))</f>
        <v>44225</v>
      </c>
      <c r="H40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44224.963240740741</v>
      </c>
    </row>
    <row r="406" spans="1:8" x14ac:dyDescent="0.3">
      <c r="A406" s="2" t="s">
        <v>369</v>
      </c>
      <c r="B406" s="2" t="s">
        <v>9</v>
      </c>
      <c r="C406" s="2" t="s">
        <v>302</v>
      </c>
      <c r="D406" s="2" t="s">
        <v>11</v>
      </c>
      <c r="E406" s="39" t="s">
        <v>462</v>
      </c>
      <c r="F406" s="40" t="str">
        <f>DailyCompletionTable[[#This Row],[TABLE_NAME]]&amp;DailyCompletionTable[[#This Row],[PROCESS_DATE]]</f>
        <v>VIPTAXT2021-01-29</v>
      </c>
      <c r="G406" s="41">
        <f>DATE(LEFT(DailyCompletionTable[[#This Row],[PROCESS_DATE]],4),MID(DailyCompletionTable[[#This Row],[PROCESS_DATE]],6,2),MID(DailyCompletionTable[[#This Row],[PROCESS_DATE]],9,2))</f>
        <v>44225</v>
      </c>
      <c r="H40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44224.947812500002</v>
      </c>
    </row>
    <row r="407" spans="1:8" x14ac:dyDescent="0.3">
      <c r="A407" s="2" t="s">
        <v>369</v>
      </c>
      <c r="B407" s="2" t="s">
        <v>9</v>
      </c>
      <c r="C407" s="2" t="s">
        <v>304</v>
      </c>
      <c r="D407" s="2" t="s">
        <v>11</v>
      </c>
      <c r="E407" s="39" t="s">
        <v>463</v>
      </c>
      <c r="F407" s="40" t="str">
        <f>DailyCompletionTable[[#This Row],[TABLE_NAME]]&amp;DailyCompletionTable[[#This Row],[PROCESS_DATE]]</f>
        <v>VIPTBRT2021-01-29</v>
      </c>
      <c r="G407" s="41">
        <f>DATE(LEFT(DailyCompletionTable[[#This Row],[PROCESS_DATE]],4),MID(DailyCompletionTable[[#This Row],[PROCESS_DATE]],6,2),MID(DailyCompletionTable[[#This Row],[PROCESS_DATE]],9,2))</f>
        <v>44225</v>
      </c>
      <c r="H40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44224.963437500002</v>
      </c>
    </row>
    <row r="408" spans="1:8" x14ac:dyDescent="0.3">
      <c r="A408" s="2" t="s">
        <v>369</v>
      </c>
      <c r="B408" s="2" t="s">
        <v>9</v>
      </c>
      <c r="C408" s="2" t="s">
        <v>306</v>
      </c>
      <c r="D408" s="2" t="s">
        <v>11</v>
      </c>
      <c r="E408" s="39" t="s">
        <v>464</v>
      </c>
      <c r="F408" s="40" t="str">
        <f>DailyCompletionTable[[#This Row],[TABLE_NAME]]&amp;DailyCompletionTable[[#This Row],[PROCESS_DATE]]</f>
        <v>VIPTBUT2021-01-29</v>
      </c>
      <c r="G408" s="41">
        <f>DATE(LEFT(DailyCompletionTable[[#This Row],[PROCESS_DATE]],4),MID(DailyCompletionTable[[#This Row],[PROCESS_DATE]],6,2),MID(DailyCompletionTable[[#This Row],[PROCESS_DATE]],9,2))</f>
        <v>44225</v>
      </c>
      <c r="H40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44224.963321759256</v>
      </c>
    </row>
    <row r="409" spans="1:8" x14ac:dyDescent="0.3">
      <c r="A409" s="2" t="s">
        <v>369</v>
      </c>
      <c r="B409" s="2" t="s">
        <v>9</v>
      </c>
      <c r="C409" s="2" t="s">
        <v>308</v>
      </c>
      <c r="D409" s="2" t="s">
        <v>11</v>
      </c>
      <c r="E409" s="39" t="s">
        <v>465</v>
      </c>
      <c r="F409" s="40" t="str">
        <f>DailyCompletionTable[[#This Row],[TABLE_NAME]]&amp;DailyCompletionTable[[#This Row],[PROCESS_DATE]]</f>
        <v>VIPTCCT2021-01-29</v>
      </c>
      <c r="G409" s="41">
        <f>DATE(LEFT(DailyCompletionTable[[#This Row],[PROCESS_DATE]],4),MID(DailyCompletionTable[[#This Row],[PROCESS_DATE]],6,2),MID(DailyCompletionTable[[#This Row],[PROCESS_DATE]],9,2))</f>
        <v>44225</v>
      </c>
      <c r="H40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44224.963171296295</v>
      </c>
    </row>
    <row r="410" spans="1:8" x14ac:dyDescent="0.3">
      <c r="A410" s="2" t="s">
        <v>369</v>
      </c>
      <c r="B410" s="2" t="s">
        <v>9</v>
      </c>
      <c r="C410" s="2" t="s">
        <v>310</v>
      </c>
      <c r="D410" s="2" t="s">
        <v>11</v>
      </c>
      <c r="E410" s="39" t="s">
        <v>466</v>
      </c>
      <c r="F410" s="40" t="str">
        <f>DailyCompletionTable[[#This Row],[TABLE_NAME]]&amp;DailyCompletionTable[[#This Row],[PROCESS_DATE]]</f>
        <v>VIPTCNT2021-01-29</v>
      </c>
      <c r="G410" s="41">
        <f>DATE(LEFT(DailyCompletionTable[[#This Row],[PROCESS_DATE]],4),MID(DailyCompletionTable[[#This Row],[PROCESS_DATE]],6,2),MID(DailyCompletionTable[[#This Row],[PROCESS_DATE]],9,2))</f>
        <v>44225</v>
      </c>
      <c r="H41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44224.963136574072</v>
      </c>
    </row>
    <row r="411" spans="1:8" x14ac:dyDescent="0.3">
      <c r="A411" s="2" t="s">
        <v>369</v>
      </c>
      <c r="B411" s="2" t="s">
        <v>9</v>
      </c>
      <c r="C411" s="2" t="s">
        <v>312</v>
      </c>
      <c r="D411" s="2" t="s">
        <v>11</v>
      </c>
      <c r="E411" s="39" t="s">
        <v>467</v>
      </c>
      <c r="F411" s="40" t="str">
        <f>DailyCompletionTable[[#This Row],[TABLE_NAME]]&amp;DailyCompletionTable[[#This Row],[PROCESS_DATE]]</f>
        <v>VIPTCST2021-01-29</v>
      </c>
      <c r="G411" s="41">
        <f>DATE(LEFT(DailyCompletionTable[[#This Row],[PROCESS_DATE]],4),MID(DailyCompletionTable[[#This Row],[PROCESS_DATE]],6,2),MID(DailyCompletionTable[[#This Row],[PROCESS_DATE]],9,2))</f>
        <v>44225</v>
      </c>
      <c r="H41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44224.963067129633</v>
      </c>
    </row>
    <row r="412" spans="1:8" x14ac:dyDescent="0.3">
      <c r="A412" s="2" t="s">
        <v>369</v>
      </c>
      <c r="B412" s="2" t="s">
        <v>9</v>
      </c>
      <c r="C412" s="2" t="s">
        <v>314</v>
      </c>
      <c r="D412" s="2" t="s">
        <v>11</v>
      </c>
      <c r="E412" s="39" t="s">
        <v>468</v>
      </c>
      <c r="F412" s="40" t="str">
        <f>DailyCompletionTable[[#This Row],[TABLE_NAME]]&amp;DailyCompletionTable[[#This Row],[PROCESS_DATE]]</f>
        <v>VIPTDFT2021-01-29</v>
      </c>
      <c r="G412" s="41">
        <f>DATE(LEFT(DailyCompletionTable[[#This Row],[PROCESS_DATE]],4),MID(DailyCompletionTable[[#This Row],[PROCESS_DATE]],6,2),MID(DailyCompletionTable[[#This Row],[PROCESS_DATE]],9,2))</f>
        <v>44225</v>
      </c>
      <c r="H41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44224.963368055556</v>
      </c>
    </row>
    <row r="413" spans="1:8" x14ac:dyDescent="0.3">
      <c r="A413" s="2" t="s">
        <v>369</v>
      </c>
      <c r="B413" s="2" t="s">
        <v>9</v>
      </c>
      <c r="C413" s="2" t="s">
        <v>316</v>
      </c>
      <c r="D413" s="2" t="s">
        <v>11</v>
      </c>
      <c r="E413" s="39" t="s">
        <v>469</v>
      </c>
      <c r="F413" s="40" t="str">
        <f>DailyCompletionTable[[#This Row],[TABLE_NAME]]&amp;DailyCompletionTable[[#This Row],[PROCESS_DATE]]</f>
        <v>VIPTDRT2021-01-29</v>
      </c>
      <c r="G413" s="41">
        <f>DATE(LEFT(DailyCompletionTable[[#This Row],[PROCESS_DATE]],4),MID(DailyCompletionTable[[#This Row],[PROCESS_DATE]],6,2),MID(DailyCompletionTable[[#This Row],[PROCESS_DATE]],9,2))</f>
        <v>44225</v>
      </c>
      <c r="H41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44224.962916666664</v>
      </c>
    </row>
    <row r="414" spans="1:8" x14ac:dyDescent="0.3">
      <c r="A414" s="2" t="s">
        <v>369</v>
      </c>
      <c r="B414" s="2" t="s">
        <v>9</v>
      </c>
      <c r="C414" s="2" t="s">
        <v>318</v>
      </c>
      <c r="D414" s="2" t="s">
        <v>11</v>
      </c>
      <c r="E414" s="39" t="s">
        <v>470</v>
      </c>
      <c r="F414" s="40" t="str">
        <f>DailyCompletionTable[[#This Row],[TABLE_NAME]]&amp;DailyCompletionTable[[#This Row],[PROCESS_DATE]]</f>
        <v>VIPTECT2021-01-29</v>
      </c>
      <c r="G414" s="41">
        <f>DATE(LEFT(DailyCompletionTable[[#This Row],[PROCESS_DATE]],4),MID(DailyCompletionTable[[#This Row],[PROCESS_DATE]],6,2),MID(DailyCompletionTable[[#This Row],[PROCESS_DATE]],9,2))</f>
        <v>44225</v>
      </c>
      <c r="H41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44224.963009259256</v>
      </c>
    </row>
    <row r="415" spans="1:8" x14ac:dyDescent="0.3">
      <c r="A415" s="2" t="s">
        <v>369</v>
      </c>
      <c r="B415" s="2" t="s">
        <v>9</v>
      </c>
      <c r="C415" s="2" t="s">
        <v>320</v>
      </c>
      <c r="D415" s="2" t="s">
        <v>11</v>
      </c>
      <c r="E415" s="39" t="s">
        <v>321</v>
      </c>
      <c r="F415" s="40" t="str">
        <f>DailyCompletionTable[[#This Row],[TABLE_NAME]]&amp;DailyCompletionTable[[#This Row],[PROCESS_DATE]]</f>
        <v>VIPTFCT2021-01-29</v>
      </c>
      <c r="G415" s="41">
        <f>DATE(LEFT(DailyCompletionTable[[#This Row],[PROCESS_DATE]],4),MID(DailyCompletionTable[[#This Row],[PROCESS_DATE]],6,2),MID(DailyCompletionTable[[#This Row],[PROCESS_DATE]],9,2))</f>
        <v>44225</v>
      </c>
      <c r="H41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44224.973611111112</v>
      </c>
    </row>
    <row r="416" spans="1:8" x14ac:dyDescent="0.3">
      <c r="A416" s="2" t="s">
        <v>369</v>
      </c>
      <c r="B416" s="2" t="s">
        <v>9</v>
      </c>
      <c r="C416" s="2" t="s">
        <v>322</v>
      </c>
      <c r="D416" s="2" t="s">
        <v>11</v>
      </c>
      <c r="E416" s="39" t="s">
        <v>471</v>
      </c>
      <c r="F416" s="40" t="str">
        <f>DailyCompletionTable[[#This Row],[TABLE_NAME]]&amp;DailyCompletionTable[[#This Row],[PROCESS_DATE]]</f>
        <v>VIPTHDT2021-01-29</v>
      </c>
      <c r="G416" s="41">
        <f>DATE(LEFT(DailyCompletionTable[[#This Row],[PROCESS_DATE]],4),MID(DailyCompletionTable[[#This Row],[PROCESS_DATE]],6,2),MID(DailyCompletionTable[[#This Row],[PROCESS_DATE]],9,2))</f>
        <v>44225</v>
      </c>
      <c r="H41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44224.96292824074</v>
      </c>
    </row>
    <row r="417" spans="1:8" x14ac:dyDescent="0.3">
      <c r="A417" s="2" t="s">
        <v>369</v>
      </c>
      <c r="B417" s="2" t="s">
        <v>9</v>
      </c>
      <c r="C417" s="2" t="s">
        <v>324</v>
      </c>
      <c r="D417" s="2" t="s">
        <v>11</v>
      </c>
      <c r="E417" s="39" t="s">
        <v>472</v>
      </c>
      <c r="F417" s="40" t="str">
        <f>DailyCompletionTable[[#This Row],[TABLE_NAME]]&amp;DailyCompletionTable[[#This Row],[PROCESS_DATE]]</f>
        <v>VIPTHRT2021-01-29</v>
      </c>
      <c r="G417" s="41">
        <f>DATE(LEFT(DailyCompletionTable[[#This Row],[PROCESS_DATE]],4),MID(DailyCompletionTable[[#This Row],[PROCESS_DATE]],6,2),MID(DailyCompletionTable[[#This Row],[PROCESS_DATE]],9,2))</f>
        <v>44225</v>
      </c>
      <c r="H41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44224.963217592594</v>
      </c>
    </row>
    <row r="418" spans="1:8" x14ac:dyDescent="0.3">
      <c r="A418" s="2" t="s">
        <v>369</v>
      </c>
      <c r="B418" s="2" t="s">
        <v>9</v>
      </c>
      <c r="C418" s="2" t="s">
        <v>326</v>
      </c>
      <c r="D418" s="2" t="s">
        <v>11</v>
      </c>
      <c r="E418" s="39" t="s">
        <v>473</v>
      </c>
      <c r="F418" s="40" t="str">
        <f>DailyCompletionTable[[#This Row],[TABLE_NAME]]&amp;DailyCompletionTable[[#This Row],[PROCESS_DATE]]</f>
        <v>VIPTHVT2021-01-29</v>
      </c>
      <c r="G418" s="41">
        <f>DATE(LEFT(DailyCompletionTable[[#This Row],[PROCESS_DATE]],4),MID(DailyCompletionTable[[#This Row],[PROCESS_DATE]],6,2),MID(DailyCompletionTable[[#This Row],[PROCESS_DATE]],9,2))</f>
        <v>44225</v>
      </c>
      <c r="H41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44224.962905092594</v>
      </c>
    </row>
    <row r="419" spans="1:8" x14ac:dyDescent="0.3">
      <c r="A419" s="2" t="s">
        <v>369</v>
      </c>
      <c r="B419" s="2" t="s">
        <v>9</v>
      </c>
      <c r="C419" s="2" t="s">
        <v>327</v>
      </c>
      <c r="D419" s="2" t="s">
        <v>11</v>
      </c>
      <c r="E419" s="39" t="s">
        <v>474</v>
      </c>
      <c r="F419" s="40" t="str">
        <f>DailyCompletionTable[[#This Row],[TABLE_NAME]]&amp;DailyCompletionTable[[#This Row],[PROCESS_DATE]]</f>
        <v>VIPTLDT2021-01-29</v>
      </c>
      <c r="G419" s="41">
        <f>DATE(LEFT(DailyCompletionTable[[#This Row],[PROCESS_DATE]],4),MID(DailyCompletionTable[[#This Row],[PROCESS_DATE]],6,2),MID(DailyCompletionTable[[#This Row],[PROCESS_DATE]],9,2))</f>
        <v>44225</v>
      </c>
      <c r="H41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44224.963055555556</v>
      </c>
    </row>
    <row r="420" spans="1:8" x14ac:dyDescent="0.3">
      <c r="A420" s="2" t="s">
        <v>369</v>
      </c>
      <c r="B420" s="2" t="s">
        <v>9</v>
      </c>
      <c r="C420" s="2" t="s">
        <v>329</v>
      </c>
      <c r="D420" s="2" t="s">
        <v>11</v>
      </c>
      <c r="E420" s="39" t="s">
        <v>475</v>
      </c>
      <c r="F420" s="40" t="str">
        <f>DailyCompletionTable[[#This Row],[TABLE_NAME]]&amp;DailyCompletionTable[[#This Row],[PROCESS_DATE]]</f>
        <v>VIPTLST2021-01-29</v>
      </c>
      <c r="G420" s="41">
        <f>DATE(LEFT(DailyCompletionTable[[#This Row],[PROCESS_DATE]],4),MID(DailyCompletionTable[[#This Row],[PROCESS_DATE]],6,2),MID(DailyCompletionTable[[#This Row],[PROCESS_DATE]],9,2))</f>
        <v>44225</v>
      </c>
      <c r="H42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44224.963263888887</v>
      </c>
    </row>
    <row r="421" spans="1:8" x14ac:dyDescent="0.3">
      <c r="A421" s="2" t="s">
        <v>369</v>
      </c>
      <c r="B421" s="2" t="s">
        <v>9</v>
      </c>
      <c r="C421" s="2" t="s">
        <v>331</v>
      </c>
      <c r="D421" s="2" t="s">
        <v>11</v>
      </c>
      <c r="E421" s="39" t="s">
        <v>472</v>
      </c>
      <c r="F421" s="40" t="str">
        <f>DailyCompletionTable[[#This Row],[TABLE_NAME]]&amp;DailyCompletionTable[[#This Row],[PROCESS_DATE]]</f>
        <v>VIPTPBT2021-01-29</v>
      </c>
      <c r="G421" s="41">
        <f>DATE(LEFT(DailyCompletionTable[[#This Row],[PROCESS_DATE]],4),MID(DailyCompletionTable[[#This Row],[PROCESS_DATE]],6,2),MID(DailyCompletionTable[[#This Row],[PROCESS_DATE]],9,2))</f>
        <v>44225</v>
      </c>
      <c r="H42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44224.963217592594</v>
      </c>
    </row>
    <row r="422" spans="1:8" x14ac:dyDescent="0.3">
      <c r="A422" s="2" t="s">
        <v>369</v>
      </c>
      <c r="B422" s="2" t="s">
        <v>9</v>
      </c>
      <c r="C422" s="2" t="s">
        <v>332</v>
      </c>
      <c r="D422" s="2" t="s">
        <v>11</v>
      </c>
      <c r="E422" s="39" t="s">
        <v>476</v>
      </c>
      <c r="F422" s="40" t="str">
        <f>DailyCompletionTable[[#This Row],[TABLE_NAME]]&amp;DailyCompletionTable[[#This Row],[PROCESS_DATE]]</f>
        <v>VIPTPMT2021-01-29</v>
      </c>
      <c r="G422" s="41">
        <f>DATE(LEFT(DailyCompletionTable[[#This Row],[PROCESS_DATE]],4),MID(DailyCompletionTable[[#This Row],[PROCESS_DATE]],6,2),MID(DailyCompletionTable[[#This Row],[PROCESS_DATE]],9,2))</f>
        <v>44225</v>
      </c>
      <c r="H42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44224.96303240741</v>
      </c>
    </row>
    <row r="423" spans="1:8" x14ac:dyDescent="0.3">
      <c r="A423" s="2" t="s">
        <v>369</v>
      </c>
      <c r="B423" s="2" t="s">
        <v>9</v>
      </c>
      <c r="C423" s="2" t="s">
        <v>334</v>
      </c>
      <c r="D423" s="2" t="s">
        <v>11</v>
      </c>
      <c r="E423" s="39" t="s">
        <v>477</v>
      </c>
      <c r="F423" s="40" t="str">
        <f>DailyCompletionTable[[#This Row],[TABLE_NAME]]&amp;DailyCompletionTable[[#This Row],[PROCESS_DATE]]</f>
        <v>VIPTPRT2021-01-29</v>
      </c>
      <c r="G423" s="41">
        <f>DATE(LEFT(DailyCompletionTable[[#This Row],[PROCESS_DATE]],4),MID(DailyCompletionTable[[#This Row],[PROCESS_DATE]],6,2),MID(DailyCompletionTable[[#This Row],[PROCESS_DATE]],9,2))</f>
        <v>44225</v>
      </c>
      <c r="H42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44224.963090277779</v>
      </c>
    </row>
    <row r="424" spans="1:8" x14ac:dyDescent="0.3">
      <c r="A424" s="2" t="s">
        <v>369</v>
      </c>
      <c r="B424" s="2" t="s">
        <v>9</v>
      </c>
      <c r="C424" s="2" t="s">
        <v>336</v>
      </c>
      <c r="D424" s="2" t="s">
        <v>11</v>
      </c>
      <c r="E424" s="39" t="s">
        <v>478</v>
      </c>
      <c r="F424" s="40" t="str">
        <f>DailyCompletionTable[[#This Row],[TABLE_NAME]]&amp;DailyCompletionTable[[#This Row],[PROCESS_DATE]]</f>
        <v>VIPTSCT2021-01-29</v>
      </c>
      <c r="G424" s="41">
        <f>DATE(LEFT(DailyCompletionTable[[#This Row],[PROCESS_DATE]],4),MID(DailyCompletionTable[[#This Row],[PROCESS_DATE]],6,2),MID(DailyCompletionTable[[#This Row],[PROCESS_DATE]],9,2))</f>
        <v>44225</v>
      </c>
      <c r="H42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44224.96298611111</v>
      </c>
    </row>
    <row r="425" spans="1:8" x14ac:dyDescent="0.3">
      <c r="A425" s="2" t="s">
        <v>369</v>
      </c>
      <c r="B425" s="2" t="s">
        <v>9</v>
      </c>
      <c r="C425" s="2" t="s">
        <v>338</v>
      </c>
      <c r="D425" s="2" t="s">
        <v>11</v>
      </c>
      <c r="E425" s="39" t="s">
        <v>479</v>
      </c>
      <c r="F425" s="40" t="str">
        <f>DailyCompletionTable[[#This Row],[TABLE_NAME]]&amp;DailyCompletionTable[[#This Row],[PROCESS_DATE]]</f>
        <v>VIPTSFT2021-01-29</v>
      </c>
      <c r="G425" s="41">
        <f>DATE(LEFT(DailyCompletionTable[[#This Row],[PROCESS_DATE]],4),MID(DailyCompletionTable[[#This Row],[PROCESS_DATE]],6,2),MID(DailyCompletionTable[[#This Row],[PROCESS_DATE]],9,2))</f>
        <v>44225</v>
      </c>
      <c r="H42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44224.963356481479</v>
      </c>
    </row>
    <row r="426" spans="1:8" x14ac:dyDescent="0.3">
      <c r="A426" s="2" t="s">
        <v>369</v>
      </c>
      <c r="B426" s="2" t="s">
        <v>9</v>
      </c>
      <c r="C426" s="2" t="s">
        <v>340</v>
      </c>
      <c r="D426" s="2" t="s">
        <v>11</v>
      </c>
      <c r="E426" s="39" t="s">
        <v>480</v>
      </c>
      <c r="F426" s="40" t="str">
        <f>DailyCompletionTable[[#This Row],[TABLE_NAME]]&amp;DailyCompletionTable[[#This Row],[PROCESS_DATE]]</f>
        <v>VIPTSGT2021-01-29</v>
      </c>
      <c r="G426" s="41">
        <f>DATE(LEFT(DailyCompletionTable[[#This Row],[PROCESS_DATE]],4),MID(DailyCompletionTable[[#This Row],[PROCESS_DATE]],6,2),MID(DailyCompletionTable[[#This Row],[PROCESS_DATE]],9,2))</f>
        <v>44225</v>
      </c>
      <c r="H42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44224.963287037041</v>
      </c>
    </row>
    <row r="427" spans="1:8" x14ac:dyDescent="0.3">
      <c r="A427" s="2" t="s">
        <v>369</v>
      </c>
      <c r="B427" s="2" t="s">
        <v>9</v>
      </c>
      <c r="C427" s="2" t="s">
        <v>341</v>
      </c>
      <c r="D427" s="2" t="s">
        <v>11</v>
      </c>
      <c r="E427" s="39" t="s">
        <v>342</v>
      </c>
      <c r="F427" s="40" t="str">
        <f>DailyCompletionTable[[#This Row],[TABLE_NAME]]&amp;DailyCompletionTable[[#This Row],[PROCESS_DATE]]</f>
        <v>VIPTSHT2021-01-29</v>
      </c>
      <c r="G427" s="41">
        <f>DATE(LEFT(DailyCompletionTable[[#This Row],[PROCESS_DATE]],4),MID(DailyCompletionTable[[#This Row],[PROCESS_DATE]],6,2),MID(DailyCompletionTable[[#This Row],[PROCESS_DATE]],9,2))</f>
        <v>44225</v>
      </c>
      <c r="H42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428" spans="1:8" x14ac:dyDescent="0.3">
      <c r="A428" s="2" t="s">
        <v>369</v>
      </c>
      <c r="B428" s="2" t="s">
        <v>9</v>
      </c>
      <c r="C428" s="2" t="s">
        <v>343</v>
      </c>
      <c r="D428" s="2" t="s">
        <v>11</v>
      </c>
      <c r="E428" s="39" t="s">
        <v>480</v>
      </c>
      <c r="F428" s="40" t="str">
        <f>DailyCompletionTable[[#This Row],[TABLE_NAME]]&amp;DailyCompletionTable[[#This Row],[PROCESS_DATE]]</f>
        <v>VIPTSKT2021-01-29</v>
      </c>
      <c r="G428" s="41">
        <f>DATE(LEFT(DailyCompletionTable[[#This Row],[PROCESS_DATE]],4),MID(DailyCompletionTable[[#This Row],[PROCESS_DATE]],6,2),MID(DailyCompletionTable[[#This Row],[PROCESS_DATE]],9,2))</f>
        <v>44225</v>
      </c>
      <c r="H42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44224.963287037041</v>
      </c>
    </row>
    <row r="429" spans="1:8" x14ac:dyDescent="0.3">
      <c r="A429" s="2" t="s">
        <v>369</v>
      </c>
      <c r="B429" s="2" t="s">
        <v>9</v>
      </c>
      <c r="C429" s="2" t="s">
        <v>345</v>
      </c>
      <c r="D429" s="2" t="s">
        <v>11</v>
      </c>
      <c r="E429" s="39" t="s">
        <v>481</v>
      </c>
      <c r="F429" s="40" t="str">
        <f>DailyCompletionTable[[#This Row],[TABLE_NAME]]&amp;DailyCompletionTable[[#This Row],[PROCESS_DATE]]</f>
        <v>VIPTSLT2021-01-29</v>
      </c>
      <c r="G429" s="41">
        <f>DATE(LEFT(DailyCompletionTable[[#This Row],[PROCESS_DATE]],4),MID(DailyCompletionTable[[#This Row],[PROCESS_DATE]],6,2),MID(DailyCompletionTable[[#This Row],[PROCESS_DATE]],9,2))</f>
        <v>44225</v>
      </c>
      <c r="H42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44224.963495370372</v>
      </c>
    </row>
    <row r="430" spans="1:8" x14ac:dyDescent="0.3">
      <c r="A430" s="2" t="s">
        <v>369</v>
      </c>
      <c r="B430" s="2" t="s">
        <v>9</v>
      </c>
      <c r="C430" s="2" t="s">
        <v>347</v>
      </c>
      <c r="D430" s="2" t="s">
        <v>11</v>
      </c>
      <c r="E430" s="39" t="s">
        <v>478</v>
      </c>
      <c r="F430" s="40" t="str">
        <f>DailyCompletionTable[[#This Row],[TABLE_NAME]]&amp;DailyCompletionTable[[#This Row],[PROCESS_DATE]]</f>
        <v>VIPTSRT2021-01-29</v>
      </c>
      <c r="G430" s="41">
        <f>DATE(LEFT(DailyCompletionTable[[#This Row],[PROCESS_DATE]],4),MID(DailyCompletionTable[[#This Row],[PROCESS_DATE]],6,2),MID(DailyCompletionTable[[#This Row],[PROCESS_DATE]],9,2))</f>
        <v>44225</v>
      </c>
      <c r="H43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44224.96298611111</v>
      </c>
    </row>
    <row r="431" spans="1:8" x14ac:dyDescent="0.3">
      <c r="A431" s="2" t="s">
        <v>369</v>
      </c>
      <c r="B431" s="2" t="s">
        <v>9</v>
      </c>
      <c r="C431" s="2" t="s">
        <v>349</v>
      </c>
      <c r="D431" s="2" t="s">
        <v>11</v>
      </c>
      <c r="E431" s="39" t="s">
        <v>342</v>
      </c>
      <c r="F431" s="40" t="str">
        <f>DailyCompletionTable[[#This Row],[TABLE_NAME]]&amp;DailyCompletionTable[[#This Row],[PROCESS_DATE]]</f>
        <v>VIPTSST2021-01-29</v>
      </c>
      <c r="G431" s="41">
        <f>DATE(LEFT(DailyCompletionTable[[#This Row],[PROCESS_DATE]],4),MID(DailyCompletionTable[[#This Row],[PROCESS_DATE]],6,2),MID(DailyCompletionTable[[#This Row],[PROCESS_DATE]],9,2))</f>
        <v>44225</v>
      </c>
      <c r="H43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432" spans="1:8" x14ac:dyDescent="0.3">
      <c r="A432" s="2" t="s">
        <v>369</v>
      </c>
      <c r="B432" s="2" t="s">
        <v>9</v>
      </c>
      <c r="C432" s="2" t="s">
        <v>350</v>
      </c>
      <c r="D432" s="2" t="s">
        <v>11</v>
      </c>
      <c r="E432" s="39" t="s">
        <v>321</v>
      </c>
      <c r="F432" s="40" t="str">
        <f>DailyCompletionTable[[#This Row],[TABLE_NAME]]&amp;DailyCompletionTable[[#This Row],[PROCESS_DATE]]</f>
        <v>VIPTSTT2021-01-29</v>
      </c>
      <c r="G432" s="41">
        <f>DATE(LEFT(DailyCompletionTable[[#This Row],[PROCESS_DATE]],4),MID(DailyCompletionTable[[#This Row],[PROCESS_DATE]],6,2),MID(DailyCompletionTable[[#This Row],[PROCESS_DATE]],9,2))</f>
        <v>44225</v>
      </c>
      <c r="H43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44224.973611111112</v>
      </c>
    </row>
    <row r="433" spans="1:8" x14ac:dyDescent="0.3">
      <c r="A433" s="2" t="s">
        <v>369</v>
      </c>
      <c r="B433" s="2" t="s">
        <v>9</v>
      </c>
      <c r="C433" s="2" t="s">
        <v>352</v>
      </c>
      <c r="D433" s="2" t="s">
        <v>11</v>
      </c>
      <c r="E433" s="39" t="s">
        <v>482</v>
      </c>
      <c r="F433" s="40" t="str">
        <f>DailyCompletionTable[[#This Row],[TABLE_NAME]]&amp;DailyCompletionTable[[#This Row],[PROCESS_DATE]]</f>
        <v>VIPTTLT2021-01-29</v>
      </c>
      <c r="G433" s="41">
        <f>DATE(LEFT(DailyCompletionTable[[#This Row],[PROCESS_DATE]],4),MID(DailyCompletionTable[[#This Row],[PROCESS_DATE]],6,2),MID(DailyCompletionTable[[#This Row],[PROCESS_DATE]],9,2))</f>
        <v>44225</v>
      </c>
      <c r="H43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44224.962962962964</v>
      </c>
    </row>
    <row r="434" spans="1:8" x14ac:dyDescent="0.3">
      <c r="A434" s="2" t="s">
        <v>369</v>
      </c>
      <c r="B434" s="2" t="s">
        <v>9</v>
      </c>
      <c r="C434" s="2" t="s">
        <v>354</v>
      </c>
      <c r="D434" s="2" t="s">
        <v>11</v>
      </c>
      <c r="E434" s="39" t="s">
        <v>342</v>
      </c>
      <c r="F434" s="40" t="str">
        <f>DailyCompletionTable[[#This Row],[TABLE_NAME]]&amp;DailyCompletionTable[[#This Row],[PROCESS_DATE]]</f>
        <v>VIPTUPT2021-01-29</v>
      </c>
      <c r="G434" s="41">
        <f>DATE(LEFT(DailyCompletionTable[[#This Row],[PROCESS_DATE]],4),MID(DailyCompletionTable[[#This Row],[PROCESS_DATE]],6,2),MID(DailyCompletionTable[[#This Row],[PROCESS_DATE]],9,2))</f>
        <v>44225</v>
      </c>
      <c r="H43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435" spans="1:8" x14ac:dyDescent="0.3">
      <c r="A435" s="2" t="s">
        <v>369</v>
      </c>
      <c r="B435" s="2" t="s">
        <v>9</v>
      </c>
      <c r="C435" s="2" t="s">
        <v>355</v>
      </c>
      <c r="D435" s="2" t="s">
        <v>11</v>
      </c>
      <c r="E435" s="39" t="s">
        <v>483</v>
      </c>
      <c r="F435" s="40" t="str">
        <f>DailyCompletionTable[[#This Row],[TABLE_NAME]]&amp;DailyCompletionTable[[#This Row],[PROCESS_DATE]]</f>
        <v>VIPTUST2021-01-29</v>
      </c>
      <c r="G435" s="41">
        <f>DATE(LEFT(DailyCompletionTable[[#This Row],[PROCESS_DATE]],4),MID(DailyCompletionTable[[#This Row],[PROCESS_DATE]],6,2),MID(DailyCompletionTable[[#This Row],[PROCESS_DATE]],9,2))</f>
        <v>44225</v>
      </c>
      <c r="H43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44224.918738425928</v>
      </c>
    </row>
    <row r="436" spans="1:8" x14ac:dyDescent="0.3">
      <c r="A436" s="2" t="s">
        <v>369</v>
      </c>
      <c r="B436" s="2" t="s">
        <v>9</v>
      </c>
      <c r="C436" s="2" t="s">
        <v>357</v>
      </c>
      <c r="D436" s="2" t="s">
        <v>11</v>
      </c>
      <c r="E436" s="39" t="s">
        <v>484</v>
      </c>
      <c r="F436" s="40" t="str">
        <f>DailyCompletionTable[[#This Row],[TABLE_NAME]]&amp;DailyCompletionTable[[#This Row],[PROCESS_DATE]]</f>
        <v>VIPTX1T2021-01-29</v>
      </c>
      <c r="G436" s="41">
        <f>DATE(LEFT(DailyCompletionTable[[#This Row],[PROCESS_DATE]],4),MID(DailyCompletionTable[[#This Row],[PROCESS_DATE]],6,2),MID(DailyCompletionTable[[#This Row],[PROCESS_DATE]],9,2))</f>
        <v>44225</v>
      </c>
      <c r="H43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44224.921863425923</v>
      </c>
    </row>
    <row r="437" spans="1:8" x14ac:dyDescent="0.3">
      <c r="A437" s="2" t="s">
        <v>369</v>
      </c>
      <c r="B437" s="2" t="s">
        <v>9</v>
      </c>
      <c r="C437" s="2" t="s">
        <v>359</v>
      </c>
      <c r="D437" s="2" t="s">
        <v>11</v>
      </c>
      <c r="E437" s="39" t="s">
        <v>386</v>
      </c>
      <c r="F437" s="40" t="str">
        <f>DailyCompletionTable[[#This Row],[TABLE_NAME]]&amp;DailyCompletionTable[[#This Row],[PROCESS_DATE]]</f>
        <v>VIPTXMT2021-01-29</v>
      </c>
      <c r="G437" s="41">
        <f>DATE(LEFT(DailyCompletionTable[[#This Row],[PROCESS_DATE]],4),MID(DailyCompletionTable[[#This Row],[PROCESS_DATE]],6,2),MID(DailyCompletionTable[[#This Row],[PROCESS_DATE]],9,2))</f>
        <v>44225</v>
      </c>
      <c r="H43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44224.848449074074</v>
      </c>
    </row>
    <row r="438" spans="1:8" x14ac:dyDescent="0.3">
      <c r="A438" s="2" t="s">
        <v>369</v>
      </c>
      <c r="B438" s="2" t="s">
        <v>9</v>
      </c>
      <c r="C438" s="2" t="s">
        <v>361</v>
      </c>
      <c r="D438" s="2" t="s">
        <v>11</v>
      </c>
      <c r="E438" s="39" t="s">
        <v>485</v>
      </c>
      <c r="F438" s="40" t="str">
        <f>DailyCompletionTable[[#This Row],[TABLE_NAME]]&amp;DailyCompletionTable[[#This Row],[PROCESS_DATE]]</f>
        <v>VIPTXRT2021-01-29</v>
      </c>
      <c r="G438" s="41">
        <f>DATE(LEFT(DailyCompletionTable[[#This Row],[PROCESS_DATE]],4),MID(DailyCompletionTable[[#This Row],[PROCESS_DATE]],6,2),MID(DailyCompletionTable[[#This Row],[PROCESS_DATE]],9,2))</f>
        <v>44225</v>
      </c>
      <c r="H43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44224.84815972222</v>
      </c>
    </row>
    <row r="439" spans="1:8" x14ac:dyDescent="0.3">
      <c r="A439" s="2" t="s">
        <v>369</v>
      </c>
      <c r="B439" s="2" t="s">
        <v>9</v>
      </c>
      <c r="C439" s="2" t="s">
        <v>362</v>
      </c>
      <c r="D439" s="2" t="s">
        <v>11</v>
      </c>
      <c r="E439" s="39" t="s">
        <v>379</v>
      </c>
      <c r="F439" s="40" t="str">
        <f>DailyCompletionTable[[#This Row],[TABLE_NAME]]&amp;DailyCompletionTable[[#This Row],[PROCESS_DATE]]</f>
        <v>VIPTXTT2021-01-29</v>
      </c>
      <c r="G439" s="41">
        <f>DATE(LEFT(DailyCompletionTable[[#This Row],[PROCESS_DATE]],4),MID(DailyCompletionTable[[#This Row],[PROCESS_DATE]],6,2),MID(DailyCompletionTable[[#This Row],[PROCESS_DATE]],9,2))</f>
        <v>44225</v>
      </c>
      <c r="H43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44224.848414351851</v>
      </c>
    </row>
    <row r="440" spans="1:8" x14ac:dyDescent="0.3">
      <c r="A440" s="2" t="s">
        <v>369</v>
      </c>
      <c r="B440" s="2" t="s">
        <v>9</v>
      </c>
      <c r="C440" s="2" t="s">
        <v>363</v>
      </c>
      <c r="D440" s="2" t="s">
        <v>11</v>
      </c>
      <c r="E440" s="39" t="s">
        <v>486</v>
      </c>
      <c r="F440" s="40" t="str">
        <f>DailyCompletionTable[[#This Row],[TABLE_NAME]]&amp;DailyCompletionTable[[#This Row],[PROCESS_DATE]]</f>
        <v>VIPXAAT2021-01-29</v>
      </c>
      <c r="G440" s="41">
        <f>DATE(LEFT(DailyCompletionTable[[#This Row],[PROCESS_DATE]],4),MID(DailyCompletionTable[[#This Row],[PROCESS_DATE]],6,2),MID(DailyCompletionTable[[#This Row],[PROCESS_DATE]],9,2))</f>
        <v>44225</v>
      </c>
      <c r="H44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44224.877395833333</v>
      </c>
    </row>
    <row r="441" spans="1:8" x14ac:dyDescent="0.3">
      <c r="A441" s="2" t="s">
        <v>369</v>
      </c>
      <c r="B441" s="2" t="s">
        <v>9</v>
      </c>
      <c r="C441" s="2" t="s">
        <v>365</v>
      </c>
      <c r="D441" s="2" t="s">
        <v>11</v>
      </c>
      <c r="E441" s="39" t="s">
        <v>487</v>
      </c>
      <c r="F441" s="40" t="str">
        <f>DailyCompletionTable[[#This Row],[TABLE_NAME]]&amp;DailyCompletionTable[[#This Row],[PROCESS_DATE]]</f>
        <v>VIPXCAT2021-01-29</v>
      </c>
      <c r="G441" s="41">
        <f>DATE(LEFT(DailyCompletionTable[[#This Row],[PROCESS_DATE]],4),MID(DailyCompletionTable[[#This Row],[PROCESS_DATE]],6,2),MID(DailyCompletionTable[[#This Row],[PROCESS_DATE]],9,2))</f>
        <v>44225</v>
      </c>
      <c r="H44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44224.877442129633</v>
      </c>
    </row>
    <row r="442" spans="1:8" x14ac:dyDescent="0.3">
      <c r="A442" s="2" t="s">
        <v>369</v>
      </c>
      <c r="B442" s="2" t="s">
        <v>9</v>
      </c>
      <c r="C442" s="2" t="s">
        <v>367</v>
      </c>
      <c r="D442" s="2" t="s">
        <v>11</v>
      </c>
      <c r="E442" s="39" t="s">
        <v>488</v>
      </c>
      <c r="F442" s="40" t="str">
        <f>DailyCompletionTable[[#This Row],[TABLE_NAME]]&amp;DailyCompletionTable[[#This Row],[PROCESS_DATE]]</f>
        <v>VIPXPMT2021-01-29</v>
      </c>
      <c r="G442" s="41">
        <f>DATE(LEFT(DailyCompletionTable[[#This Row],[PROCESS_DATE]],4),MID(DailyCompletionTable[[#This Row],[PROCESS_DATE]],6,2),MID(DailyCompletionTable[[#This Row],[PROCESS_DATE]],9,2))</f>
        <v>44225</v>
      </c>
      <c r="H44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44224.877384259256</v>
      </c>
    </row>
    <row r="443" spans="1:8" x14ac:dyDescent="0.3">
      <c r="A443" s="2" t="s">
        <v>489</v>
      </c>
      <c r="B443" s="2" t="s">
        <v>9</v>
      </c>
      <c r="C443" s="2" t="s">
        <v>10</v>
      </c>
      <c r="D443" s="2" t="s">
        <v>11</v>
      </c>
      <c r="E443" s="39" t="s">
        <v>490</v>
      </c>
      <c r="F443" s="40" t="str">
        <f>DailyCompletionTable[[#This Row],[TABLE_NAME]]&amp;DailyCompletionTable[[#This Row],[PROCESS_DATE]]</f>
        <v>PAC_ACCOUNT2021-01-29</v>
      </c>
      <c r="G443" s="41">
        <f>DATE(LEFT(DailyCompletionTable[[#This Row],[PROCESS_DATE]],4),MID(DailyCompletionTable[[#This Row],[PROCESS_DATE]],6,2),MID(DailyCompletionTable[[#This Row],[PROCESS_DATE]],9,2))</f>
        <v>44225</v>
      </c>
      <c r="H44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4" spans="1:8" x14ac:dyDescent="0.3">
      <c r="A444" s="2" t="s">
        <v>489</v>
      </c>
      <c r="B444" s="2" t="s">
        <v>9</v>
      </c>
      <c r="C444" s="2" t="s">
        <v>13</v>
      </c>
      <c r="D444" s="2" t="s">
        <v>11</v>
      </c>
      <c r="E444" s="39" t="s">
        <v>490</v>
      </c>
      <c r="F444" s="40" t="str">
        <f>DailyCompletionTable[[#This Row],[TABLE_NAME]]&amp;DailyCompletionTable[[#This Row],[PROCESS_DATE]]</f>
        <v>PAG_AVAIL_GROUP2021-01-29</v>
      </c>
      <c r="G444" s="41">
        <f>DATE(LEFT(DailyCompletionTable[[#This Row],[PROCESS_DATE]],4),MID(DailyCompletionTable[[#This Row],[PROCESS_DATE]],6,2),MID(DailyCompletionTable[[#This Row],[PROCESS_DATE]],9,2))</f>
        <v>44225</v>
      </c>
      <c r="H44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5" spans="1:8" x14ac:dyDescent="0.3">
      <c r="A445" s="2" t="s">
        <v>489</v>
      </c>
      <c r="B445" s="2" t="s">
        <v>9</v>
      </c>
      <c r="C445" s="2" t="s">
        <v>14</v>
      </c>
      <c r="D445" s="2" t="s">
        <v>11</v>
      </c>
      <c r="E445" s="39" t="s">
        <v>490</v>
      </c>
      <c r="F445" s="40" t="str">
        <f>DailyCompletionTable[[#This Row],[TABLE_NAME]]&amp;DailyCompletionTable[[#This Row],[PROCESS_DATE]]</f>
        <v>PAP_AITM_PARM_VAL2021-01-29</v>
      </c>
      <c r="G445" s="41">
        <f>DATE(LEFT(DailyCompletionTable[[#This Row],[PROCESS_DATE]],4),MID(DailyCompletionTable[[#This Row],[PROCESS_DATE]],6,2),MID(DailyCompletionTable[[#This Row],[PROCESS_DATE]],9,2))</f>
        <v>44225</v>
      </c>
      <c r="H44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6" spans="1:8" x14ac:dyDescent="0.3">
      <c r="A446" s="2" t="s">
        <v>489</v>
      </c>
      <c r="B446" s="2" t="s">
        <v>9</v>
      </c>
      <c r="C446" s="2" t="s">
        <v>15</v>
      </c>
      <c r="D446" s="2" t="s">
        <v>11</v>
      </c>
      <c r="E446" s="39" t="s">
        <v>490</v>
      </c>
      <c r="F446" s="40" t="str">
        <f>DailyCompletionTable[[#This Row],[TABLE_NAME]]&amp;DailyCompletionTable[[#This Row],[PROCESS_DATE]]</f>
        <v>PAS_ACCT_SERV_ITM2021-01-29</v>
      </c>
      <c r="G446" s="41">
        <f>DATE(LEFT(DailyCompletionTable[[#This Row],[PROCESS_DATE]],4),MID(DailyCompletionTable[[#This Row],[PROCESS_DATE]],6,2),MID(DailyCompletionTable[[#This Row],[PROCESS_DATE]],9,2))</f>
        <v>44225</v>
      </c>
      <c r="H44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7" spans="1:8" x14ac:dyDescent="0.3">
      <c r="A447" s="2" t="s">
        <v>489</v>
      </c>
      <c r="B447" s="2" t="s">
        <v>9</v>
      </c>
      <c r="C447" s="2" t="s">
        <v>16</v>
      </c>
      <c r="D447" s="2" t="s">
        <v>11</v>
      </c>
      <c r="E447" s="39" t="s">
        <v>490</v>
      </c>
      <c r="F447" s="40" t="str">
        <f>DailyCompletionTable[[#This Row],[TABLE_NAME]]&amp;DailyCompletionTable[[#This Row],[PROCESS_DATE]]</f>
        <v>PAT_AVAIL_CATG2021-01-29</v>
      </c>
      <c r="G447" s="41">
        <f>DATE(LEFT(DailyCompletionTable[[#This Row],[PROCESS_DATE]],4),MID(DailyCompletionTable[[#This Row],[PROCESS_DATE]],6,2),MID(DailyCompletionTable[[#This Row],[PROCESS_DATE]],9,2))</f>
        <v>44225</v>
      </c>
      <c r="H44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8" spans="1:8" x14ac:dyDescent="0.3">
      <c r="A448" s="2" t="s">
        <v>489</v>
      </c>
      <c r="B448" s="2" t="s">
        <v>9</v>
      </c>
      <c r="C448" s="2" t="s">
        <v>17</v>
      </c>
      <c r="D448" s="2" t="s">
        <v>11</v>
      </c>
      <c r="E448" s="39" t="s">
        <v>490</v>
      </c>
      <c r="F448" s="40" t="str">
        <f>DailyCompletionTable[[#This Row],[TABLE_NAME]]&amp;DailyCompletionTable[[#This Row],[PROCESS_DATE]]</f>
        <v>PBK_TN_BLOCK2021-01-29</v>
      </c>
      <c r="G448" s="41">
        <f>DATE(LEFT(DailyCompletionTable[[#This Row],[PROCESS_DATE]],4),MID(DailyCompletionTable[[#This Row],[PROCESS_DATE]],6,2),MID(DailyCompletionTable[[#This Row],[PROCESS_DATE]],9,2))</f>
        <v>44225</v>
      </c>
      <c r="H44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49" spans="1:8" x14ac:dyDescent="0.3">
      <c r="A449" s="2" t="s">
        <v>489</v>
      </c>
      <c r="B449" s="2" t="s">
        <v>9</v>
      </c>
      <c r="C449" s="2" t="s">
        <v>18</v>
      </c>
      <c r="D449" s="2" t="s">
        <v>11</v>
      </c>
      <c r="E449" s="39" t="s">
        <v>19</v>
      </c>
      <c r="F449" s="40" t="str">
        <f>DailyCompletionTable[[#This Row],[TABLE_NAME]]&amp;DailyCompletionTable[[#This Row],[PROCESS_DATE]]</f>
        <v>PC2021-01-29</v>
      </c>
      <c r="G449" s="41">
        <f>DATE(LEFT(DailyCompletionTable[[#This Row],[PROCESS_DATE]],4),MID(DailyCompletionTable[[#This Row],[PROCESS_DATE]],6,2),MID(DailyCompletionTable[[#This Row],[PROCESS_DATE]],9,2))</f>
        <v>44225</v>
      </c>
      <c r="H44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44224.906956018516</v>
      </c>
    </row>
    <row r="450" spans="1:8" x14ac:dyDescent="0.3">
      <c r="A450" s="2" t="s">
        <v>489</v>
      </c>
      <c r="B450" s="2" t="s">
        <v>9</v>
      </c>
      <c r="C450" s="2" t="s">
        <v>20</v>
      </c>
      <c r="D450" s="2" t="s">
        <v>11</v>
      </c>
      <c r="E450" s="39" t="s">
        <v>21</v>
      </c>
      <c r="F450" s="40" t="str">
        <f>DailyCompletionTable[[#This Row],[TABLE_NAME]]&amp;DailyCompletionTable[[#This Row],[PROCESS_DATE]]</f>
        <v>PCA_CATG_ASSC2021-01-29</v>
      </c>
      <c r="G450" s="41">
        <f>DATE(LEFT(DailyCompletionTable[[#This Row],[PROCESS_DATE]],4),MID(DailyCompletionTable[[#This Row],[PROCESS_DATE]],6,2),MID(DailyCompletionTable[[#This Row],[PROCESS_DATE]],9,2))</f>
        <v>44225</v>
      </c>
      <c r="H45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1" spans="1:8" x14ac:dyDescent="0.3">
      <c r="A451" s="2" t="s">
        <v>489</v>
      </c>
      <c r="B451" s="2" t="s">
        <v>9</v>
      </c>
      <c r="C451" s="2" t="s">
        <v>22</v>
      </c>
      <c r="D451" s="2" t="s">
        <v>11</v>
      </c>
      <c r="E451" s="39" t="s">
        <v>490</v>
      </c>
      <c r="F451" s="40" t="str">
        <f>DailyCompletionTable[[#This Row],[TABLE_NAME]]&amp;DailyCompletionTable[[#This Row],[PROCESS_DATE]]</f>
        <v>PCI_CALL_CRD_INV2021-01-29</v>
      </c>
      <c r="G451" s="41">
        <f>DATE(LEFT(DailyCompletionTable[[#This Row],[PROCESS_DATE]],4),MID(DailyCompletionTable[[#This Row],[PROCESS_DATE]],6,2),MID(DailyCompletionTable[[#This Row],[PROCESS_DATE]],9,2))</f>
        <v>44225</v>
      </c>
      <c r="H45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52" spans="1:8" x14ac:dyDescent="0.3">
      <c r="A452" s="2" t="s">
        <v>489</v>
      </c>
      <c r="B452" s="2" t="s">
        <v>9</v>
      </c>
      <c r="C452" s="2" t="s">
        <v>23</v>
      </c>
      <c r="D452" s="2" t="s">
        <v>11</v>
      </c>
      <c r="E452" s="39" t="s">
        <v>21</v>
      </c>
      <c r="F452" s="40" t="str">
        <f>DailyCompletionTable[[#This Row],[TABLE_NAME]]&amp;DailyCompletionTable[[#This Row],[PROCESS_DATE]]</f>
        <v>PCP_CATG_PARM2021-01-29</v>
      </c>
      <c r="G452" s="41">
        <f>DATE(LEFT(DailyCompletionTable[[#This Row],[PROCESS_DATE]],4),MID(DailyCompletionTable[[#This Row],[PROCESS_DATE]],6,2),MID(DailyCompletionTable[[#This Row],[PROCESS_DATE]],9,2))</f>
        <v>44225</v>
      </c>
      <c r="H45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3" spans="1:8" x14ac:dyDescent="0.3">
      <c r="A453" s="2" t="s">
        <v>489</v>
      </c>
      <c r="B453" s="2" t="s">
        <v>9</v>
      </c>
      <c r="C453" s="2" t="s">
        <v>24</v>
      </c>
      <c r="D453" s="2" t="s">
        <v>11</v>
      </c>
      <c r="E453" s="39" t="s">
        <v>490</v>
      </c>
      <c r="F453" s="40" t="str">
        <f>DailyCompletionTable[[#This Row],[TABLE_NAME]]&amp;DailyCompletionTable[[#This Row],[PROCESS_DATE]]</f>
        <v>PCS_CCS_SPA2021-01-29</v>
      </c>
      <c r="G453" s="41">
        <f>DATE(LEFT(DailyCompletionTable[[#This Row],[PROCESS_DATE]],4),MID(DailyCompletionTable[[#This Row],[PROCESS_DATE]],6,2),MID(DailyCompletionTable[[#This Row],[PROCESS_DATE]],9,2))</f>
        <v>44225</v>
      </c>
      <c r="H45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54" spans="1:8" x14ac:dyDescent="0.3">
      <c r="A454" s="2" t="s">
        <v>489</v>
      </c>
      <c r="B454" s="2" t="s">
        <v>9</v>
      </c>
      <c r="C454" s="2" t="s">
        <v>25</v>
      </c>
      <c r="D454" s="2" t="s">
        <v>11</v>
      </c>
      <c r="E454" s="39" t="s">
        <v>21</v>
      </c>
      <c r="F454" s="40" t="str">
        <f>DailyCompletionTable[[#This Row],[TABLE_NAME]]&amp;DailyCompletionTable[[#This Row],[PROCESS_DATE]]</f>
        <v>PCT_CATG_ITM2021-01-29</v>
      </c>
      <c r="G454" s="41">
        <f>DATE(LEFT(DailyCompletionTable[[#This Row],[PROCESS_DATE]],4),MID(DailyCompletionTable[[#This Row],[PROCESS_DATE]],6,2),MID(DailyCompletionTable[[#This Row],[PROCESS_DATE]],9,2))</f>
        <v>44225</v>
      </c>
      <c r="H45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5" spans="1:8" x14ac:dyDescent="0.3">
      <c r="A455" s="2" t="s">
        <v>489</v>
      </c>
      <c r="B455" s="2" t="s">
        <v>9</v>
      </c>
      <c r="C455" s="2" t="s">
        <v>26</v>
      </c>
      <c r="D455" s="2" t="s">
        <v>11</v>
      </c>
      <c r="E455" s="39" t="s">
        <v>21</v>
      </c>
      <c r="F455" s="40" t="str">
        <f>DailyCompletionTable[[#This Row],[TABLE_NAME]]&amp;DailyCompletionTable[[#This Row],[PROCESS_DATE]]</f>
        <v>PEN_EXCEPTION_TN_DETAIL2021-01-29</v>
      </c>
      <c r="G455" s="41">
        <f>DATE(LEFT(DailyCompletionTable[[#This Row],[PROCESS_DATE]],4),MID(DailyCompletionTable[[#This Row],[PROCESS_DATE]],6,2),MID(DailyCompletionTable[[#This Row],[PROCESS_DATE]],9,2))</f>
        <v>44225</v>
      </c>
      <c r="H45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6" spans="1:8" x14ac:dyDescent="0.3">
      <c r="A456" s="2" t="s">
        <v>489</v>
      </c>
      <c r="B456" s="2" t="s">
        <v>9</v>
      </c>
      <c r="C456" s="2" t="s">
        <v>27</v>
      </c>
      <c r="D456" s="2" t="s">
        <v>11</v>
      </c>
      <c r="E456" s="39" t="s">
        <v>21</v>
      </c>
      <c r="F456" s="40" t="str">
        <f>DailyCompletionTable[[#This Row],[TABLE_NAME]]&amp;DailyCompletionTable[[#This Row],[PROCESS_DATE]]</f>
        <v>PFA_FACILITY_ASSOC2021-01-29</v>
      </c>
      <c r="G456" s="41">
        <f>DATE(LEFT(DailyCompletionTable[[#This Row],[PROCESS_DATE]],4),MID(DailyCompletionTable[[#This Row],[PROCESS_DATE]],6,2),MID(DailyCompletionTable[[#This Row],[PROCESS_DATE]],9,2))</f>
        <v>44225</v>
      </c>
      <c r="H45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7" spans="1:8" x14ac:dyDescent="0.3">
      <c r="A457" s="2" t="s">
        <v>489</v>
      </c>
      <c r="B457" s="2" t="s">
        <v>9</v>
      </c>
      <c r="C457" s="2" t="s">
        <v>28</v>
      </c>
      <c r="D457" s="2" t="s">
        <v>11</v>
      </c>
      <c r="E457" s="39" t="s">
        <v>21</v>
      </c>
      <c r="F457" s="40" t="str">
        <f>DailyCompletionTable[[#This Row],[TABLE_NAME]]&amp;DailyCompletionTable[[#This Row],[PROCESS_DATE]]</f>
        <v>PFC_FACILITY2021-01-29</v>
      </c>
      <c r="G457" s="41">
        <f>DATE(LEFT(DailyCompletionTable[[#This Row],[PROCESS_DATE]],4),MID(DailyCompletionTable[[#This Row],[PROCESS_DATE]],6,2),MID(DailyCompletionTable[[#This Row],[PROCESS_DATE]],9,2))</f>
        <v>44225</v>
      </c>
      <c r="H45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8" spans="1:8" x14ac:dyDescent="0.3">
      <c r="A458" s="2" t="s">
        <v>489</v>
      </c>
      <c r="B458" s="2" t="s">
        <v>9</v>
      </c>
      <c r="C458" s="2" t="s">
        <v>29</v>
      </c>
      <c r="D458" s="2" t="s">
        <v>11</v>
      </c>
      <c r="E458" s="39" t="s">
        <v>21</v>
      </c>
      <c r="F458" s="40" t="str">
        <f>DailyCompletionTable[[#This Row],[TABLE_NAME]]&amp;DailyCompletionTable[[#This Row],[PROCESS_DATE]]</f>
        <v>PFD_FIELD_IDENTIFIER2021-01-29</v>
      </c>
      <c r="G458" s="41">
        <f>DATE(LEFT(DailyCompletionTable[[#This Row],[PROCESS_DATE]],4),MID(DailyCompletionTable[[#This Row],[PROCESS_DATE]],6,2),MID(DailyCompletionTable[[#This Row],[PROCESS_DATE]],9,2))</f>
        <v>44225</v>
      </c>
      <c r="H45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59" spans="1:8" x14ac:dyDescent="0.3">
      <c r="A459" s="2" t="s">
        <v>489</v>
      </c>
      <c r="B459" s="2" t="s">
        <v>9</v>
      </c>
      <c r="C459" s="2" t="s">
        <v>30</v>
      </c>
      <c r="D459" s="2" t="s">
        <v>11</v>
      </c>
      <c r="E459" s="39" t="s">
        <v>21</v>
      </c>
      <c r="F459" s="40" t="str">
        <f>DailyCompletionTable[[#This Row],[TABLE_NAME]]&amp;DailyCompletionTable[[#This Row],[PROCESS_DATE]]</f>
        <v>PFT_FACILITY_TYPE2021-01-29</v>
      </c>
      <c r="G459" s="41">
        <f>DATE(LEFT(DailyCompletionTable[[#This Row],[PROCESS_DATE]],4),MID(DailyCompletionTable[[#This Row],[PROCESS_DATE]],6,2),MID(DailyCompletionTable[[#This Row],[PROCESS_DATE]],9,2))</f>
        <v>44225</v>
      </c>
      <c r="H45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60" spans="1:8" x14ac:dyDescent="0.3">
      <c r="A460" s="2" t="s">
        <v>489</v>
      </c>
      <c r="B460" s="2" t="s">
        <v>9</v>
      </c>
      <c r="C460" s="2" t="s">
        <v>31</v>
      </c>
      <c r="D460" s="2" t="s">
        <v>11</v>
      </c>
      <c r="E460" s="39" t="s">
        <v>21</v>
      </c>
      <c r="F460" s="40" t="str">
        <f>DailyCompletionTable[[#This Row],[TABLE_NAME]]&amp;DailyCompletionTable[[#This Row],[PROCESS_DATE]]</f>
        <v>PFV_FACILITY_VALUE2021-01-29</v>
      </c>
      <c r="G460" s="41">
        <f>DATE(LEFT(DailyCompletionTable[[#This Row],[PROCESS_DATE]],4),MID(DailyCompletionTable[[#This Row],[PROCESS_DATE]],6,2),MID(DailyCompletionTable[[#This Row],[PROCESS_DATE]],9,2))</f>
        <v>44225</v>
      </c>
      <c r="H46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61" spans="1:8" x14ac:dyDescent="0.3">
      <c r="A461" s="2" t="s">
        <v>489</v>
      </c>
      <c r="B461" s="2" t="s">
        <v>9</v>
      </c>
      <c r="C461" s="2" t="s">
        <v>32</v>
      </c>
      <c r="D461" s="2" t="s">
        <v>11</v>
      </c>
      <c r="E461" s="39" t="s">
        <v>490</v>
      </c>
      <c r="F461" s="40" t="str">
        <f>DailyCompletionTable[[#This Row],[TABLE_NAME]]&amp;DailyCompletionTable[[#This Row],[PROCESS_DATE]]</f>
        <v>PIG_INV_GROUP2021-01-29</v>
      </c>
      <c r="G461" s="41">
        <f>DATE(LEFT(DailyCompletionTable[[#This Row],[PROCESS_DATE]],4),MID(DailyCompletionTable[[#This Row],[PROCESS_DATE]],6,2),MID(DailyCompletionTable[[#This Row],[PROCESS_DATE]],9,2))</f>
        <v>44225</v>
      </c>
      <c r="H46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62" spans="1:8" x14ac:dyDescent="0.3">
      <c r="A462" s="2" t="s">
        <v>489</v>
      </c>
      <c r="B462" s="2" t="s">
        <v>9</v>
      </c>
      <c r="C462" s="2" t="s">
        <v>33</v>
      </c>
      <c r="D462" s="2" t="s">
        <v>11</v>
      </c>
      <c r="E462" s="39" t="s">
        <v>21</v>
      </c>
      <c r="F462" s="40" t="str">
        <f>DailyCompletionTable[[#This Row],[TABLE_NAME]]&amp;DailyCompletionTable[[#This Row],[PROCESS_DATE]]</f>
        <v>PIN_INVENTORY_TYPE2021-01-29</v>
      </c>
      <c r="G462" s="41">
        <f>DATE(LEFT(DailyCompletionTable[[#This Row],[PROCESS_DATE]],4),MID(DailyCompletionTable[[#This Row],[PROCESS_DATE]],6,2),MID(DailyCompletionTable[[#This Row],[PROCESS_DATE]],9,2))</f>
        <v>44225</v>
      </c>
      <c r="H46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63" spans="1:8" x14ac:dyDescent="0.3">
      <c r="A463" s="2" t="s">
        <v>489</v>
      </c>
      <c r="B463" s="2" t="s">
        <v>9</v>
      </c>
      <c r="C463" s="2" t="s">
        <v>34</v>
      </c>
      <c r="D463" s="2" t="s">
        <v>11</v>
      </c>
      <c r="E463" s="39" t="s">
        <v>490</v>
      </c>
      <c r="F463" s="40" t="str">
        <f>DailyCompletionTable[[#This Row],[TABLE_NAME]]&amp;DailyCompletionTable[[#This Row],[PROCESS_DATE]]</f>
        <v>PJP_JOPS_QUEUE2021-01-29</v>
      </c>
      <c r="G463" s="41">
        <f>DATE(LEFT(DailyCompletionTable[[#This Row],[PROCESS_DATE]],4),MID(DailyCompletionTable[[#This Row],[PROCESS_DATE]],6,2),MID(DailyCompletionTable[[#This Row],[PROCESS_DATE]],9,2))</f>
        <v>44225</v>
      </c>
      <c r="H46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64" spans="1:8" x14ac:dyDescent="0.3">
      <c r="A464" s="2" t="s">
        <v>489</v>
      </c>
      <c r="B464" s="2" t="s">
        <v>9</v>
      </c>
      <c r="C464" s="2" t="s">
        <v>35</v>
      </c>
      <c r="D464" s="2" t="s">
        <v>11</v>
      </c>
      <c r="E464" s="39" t="s">
        <v>490</v>
      </c>
      <c r="F464" s="40" t="str">
        <f>DailyCompletionTable[[#This Row],[TABLE_NAME]]&amp;DailyCompletionTable[[#This Row],[PROCESS_DATE]]</f>
        <v>PMA_MSAG_ADDR2021-01-29</v>
      </c>
      <c r="G464" s="41">
        <f>DATE(LEFT(DailyCompletionTable[[#This Row],[PROCESS_DATE]],4),MID(DailyCompletionTable[[#This Row],[PROCESS_DATE]],6,2),MID(DailyCompletionTable[[#This Row],[PROCESS_DATE]],9,2))</f>
        <v>44225</v>
      </c>
      <c r="H46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65" spans="1:8" x14ac:dyDescent="0.3">
      <c r="A465" s="2" t="s">
        <v>489</v>
      </c>
      <c r="B465" s="2" t="s">
        <v>9</v>
      </c>
      <c r="C465" s="2" t="s">
        <v>36</v>
      </c>
      <c r="D465" s="2" t="s">
        <v>11</v>
      </c>
      <c r="E465" s="39" t="s">
        <v>491</v>
      </c>
      <c r="F465" s="40" t="str">
        <f>DailyCompletionTable[[#This Row],[TABLE_NAME]]&amp;DailyCompletionTable[[#This Row],[PROCESS_DATE]]</f>
        <v>POI_ORD_LINE_ITM2021-01-29</v>
      </c>
      <c r="G465" s="41">
        <f>DATE(LEFT(DailyCompletionTable[[#This Row],[PROCESS_DATE]],4),MID(DailyCompletionTable[[#This Row],[PROCESS_DATE]],6,2),MID(DailyCompletionTable[[#This Row],[PROCESS_DATE]],9,2))</f>
        <v>44225</v>
      </c>
      <c r="H46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44224.899016203701</v>
      </c>
    </row>
    <row r="466" spans="1:8" x14ac:dyDescent="0.3">
      <c r="A466" s="2" t="s">
        <v>489</v>
      </c>
      <c r="B466" s="2" t="s">
        <v>9</v>
      </c>
      <c r="C466" s="2" t="s">
        <v>38</v>
      </c>
      <c r="D466" s="2" t="s">
        <v>11</v>
      </c>
      <c r="E466" s="39" t="s">
        <v>490</v>
      </c>
      <c r="F466" s="40" t="str">
        <f>DailyCompletionTable[[#This Row],[TABLE_NAME]]&amp;DailyCompletionTable[[#This Row],[PROCESS_DATE]]</f>
        <v>POM_ORDER_MESSAGE2021-01-29</v>
      </c>
      <c r="G466" s="41">
        <f>DATE(LEFT(DailyCompletionTable[[#This Row],[PROCESS_DATE]],4),MID(DailyCompletionTable[[#This Row],[PROCESS_DATE]],6,2),MID(DailyCompletionTable[[#This Row],[PROCESS_DATE]],9,2))</f>
        <v>44225</v>
      </c>
      <c r="H46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67" spans="1:8" x14ac:dyDescent="0.3">
      <c r="A467" s="2" t="s">
        <v>489</v>
      </c>
      <c r="B467" s="2" t="s">
        <v>9</v>
      </c>
      <c r="C467" s="2" t="s">
        <v>39</v>
      </c>
      <c r="D467" s="2" t="s">
        <v>11</v>
      </c>
      <c r="E467" s="39" t="s">
        <v>492</v>
      </c>
      <c r="F467" s="40" t="str">
        <f>DailyCompletionTable[[#This Row],[TABLE_NAME]]&amp;DailyCompletionTable[[#This Row],[PROCESS_DATE]]</f>
        <v>POV_ORD_LINE_PARM_VAL2021-01-29</v>
      </c>
      <c r="G467" s="41">
        <f>DATE(LEFT(DailyCompletionTable[[#This Row],[PROCESS_DATE]],4),MID(DailyCompletionTable[[#This Row],[PROCESS_DATE]],6,2),MID(DailyCompletionTable[[#This Row],[PROCESS_DATE]],9,2))</f>
        <v>44225</v>
      </c>
      <c r="H46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44225.010613425926</v>
      </c>
    </row>
    <row r="468" spans="1:8" x14ac:dyDescent="0.3">
      <c r="A468" s="2" t="s">
        <v>489</v>
      </c>
      <c r="B468" s="2" t="s">
        <v>9</v>
      </c>
      <c r="C468" s="2" t="s">
        <v>41</v>
      </c>
      <c r="D468" s="2" t="s">
        <v>11</v>
      </c>
      <c r="E468" s="39" t="s">
        <v>21</v>
      </c>
      <c r="F468" s="40" t="str">
        <f>DailyCompletionTable[[#This Row],[TABLE_NAME]]&amp;DailyCompletionTable[[#This Row],[PROCESS_DATE]]</f>
        <v>PPL_PROVISIONING_LEDGER2021-01-29</v>
      </c>
      <c r="G468" s="41">
        <f>DATE(LEFT(DailyCompletionTable[[#This Row],[PROCESS_DATE]],4),MID(DailyCompletionTable[[#This Row],[PROCESS_DATE]],6,2),MID(DailyCompletionTable[[#This Row],[PROCESS_DATE]],9,2))</f>
        <v>44225</v>
      </c>
      <c r="H46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69" spans="1:8" x14ac:dyDescent="0.3">
      <c r="A469" s="2" t="s">
        <v>489</v>
      </c>
      <c r="B469" s="2" t="s">
        <v>9</v>
      </c>
      <c r="C469" s="2" t="s">
        <v>42</v>
      </c>
      <c r="D469" s="2" t="s">
        <v>11</v>
      </c>
      <c r="E469" s="39" t="s">
        <v>21</v>
      </c>
      <c r="F469" s="40" t="str">
        <f>DailyCompletionTable[[#This Row],[TABLE_NAME]]&amp;DailyCompletionTable[[#This Row],[PROCESS_DATE]]</f>
        <v>PPM_PARM_ITM2021-01-29</v>
      </c>
      <c r="G469" s="41">
        <f>DATE(LEFT(DailyCompletionTable[[#This Row],[PROCESS_DATE]],4),MID(DailyCompletionTable[[#This Row],[PROCESS_DATE]],6,2),MID(DailyCompletionTable[[#This Row],[PROCESS_DATE]],9,2))</f>
        <v>44225</v>
      </c>
      <c r="H46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70" spans="1:8" x14ac:dyDescent="0.3">
      <c r="A470" s="2" t="s">
        <v>489</v>
      </c>
      <c r="B470" s="2" t="s">
        <v>9</v>
      </c>
      <c r="C470" s="2" t="s">
        <v>43</v>
      </c>
      <c r="D470" s="2" t="s">
        <v>11</v>
      </c>
      <c r="E470" s="39" t="s">
        <v>490</v>
      </c>
      <c r="F470" s="40" t="str">
        <f>DailyCompletionTable[[#This Row],[TABLE_NAME]]&amp;DailyCompletionTable[[#This Row],[PROCESS_DATE]]</f>
        <v>PSH_TN_SYMB_CATG_HIST2021-01-29</v>
      </c>
      <c r="G470" s="41">
        <f>DATE(LEFT(DailyCompletionTable[[#This Row],[PROCESS_DATE]],4),MID(DailyCompletionTable[[#This Row],[PROCESS_DATE]],6,2),MID(DailyCompletionTable[[#This Row],[PROCESS_DATE]],9,2))</f>
        <v>44225</v>
      </c>
      <c r="H47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71" spans="1:8" x14ac:dyDescent="0.3">
      <c r="A471" s="2" t="s">
        <v>489</v>
      </c>
      <c r="B471" s="2" t="s">
        <v>9</v>
      </c>
      <c r="C471" s="2" t="s">
        <v>44</v>
      </c>
      <c r="D471" s="2" t="s">
        <v>11</v>
      </c>
      <c r="E471" s="39" t="s">
        <v>490</v>
      </c>
      <c r="F471" s="40" t="str">
        <f>DailyCompletionTable[[#This Row],[TABLE_NAME]]&amp;DailyCompletionTable[[#This Row],[PROCESS_DATE]]</f>
        <v>PSV_IN_SERV_PARM_VAL2021-01-29</v>
      </c>
      <c r="G471" s="41">
        <f>DATE(LEFT(DailyCompletionTable[[#This Row],[PROCESS_DATE]],4),MID(DailyCompletionTable[[#This Row],[PROCESS_DATE]],6,2),MID(DailyCompletionTable[[#This Row],[PROCESS_DATE]],9,2))</f>
        <v>44225</v>
      </c>
      <c r="H47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72" spans="1:8" x14ac:dyDescent="0.3">
      <c r="A472" s="2" t="s">
        <v>489</v>
      </c>
      <c r="B472" s="2" t="s">
        <v>9</v>
      </c>
      <c r="C472" s="2" t="s">
        <v>45</v>
      </c>
      <c r="D472" s="2" t="s">
        <v>11</v>
      </c>
      <c r="E472" s="39" t="s">
        <v>21</v>
      </c>
      <c r="F472" s="40" t="str">
        <f>DailyCompletionTable[[#This Row],[TABLE_NAME]]&amp;DailyCompletionTable[[#This Row],[PROCESS_DATE]]</f>
        <v>PTE_TELEPHONE_EXCHANGE2021-01-29</v>
      </c>
      <c r="G472" s="41">
        <f>DATE(LEFT(DailyCompletionTable[[#This Row],[PROCESS_DATE]],4),MID(DailyCompletionTable[[#This Row],[PROCESS_DATE]],6,2),MID(DailyCompletionTable[[#This Row],[PROCESS_DATE]],9,2))</f>
        <v>44225</v>
      </c>
      <c r="H47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73" spans="1:8" x14ac:dyDescent="0.3">
      <c r="A473" s="2" t="s">
        <v>489</v>
      </c>
      <c r="B473" s="2" t="s">
        <v>9</v>
      </c>
      <c r="C473" s="2" t="s">
        <v>46</v>
      </c>
      <c r="D473" s="2" t="s">
        <v>11</v>
      </c>
      <c r="E473" s="39" t="s">
        <v>21</v>
      </c>
      <c r="F473" s="40" t="str">
        <f>DailyCompletionTable[[#This Row],[TABLE_NAME]]&amp;DailyCompletionTable[[#This Row],[PROCESS_DATE]]</f>
        <v>PTG_TN_EXCHG_GRP2021-01-29</v>
      </c>
      <c r="G473" s="41">
        <f>DATE(LEFT(DailyCompletionTable[[#This Row],[PROCESS_DATE]],4),MID(DailyCompletionTable[[#This Row],[PROCESS_DATE]],6,2),MID(DailyCompletionTable[[#This Row],[PROCESS_DATE]],9,2))</f>
        <v>44225</v>
      </c>
      <c r="H47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74" spans="1:8" x14ac:dyDescent="0.3">
      <c r="A474" s="2" t="s">
        <v>489</v>
      </c>
      <c r="B474" s="2" t="s">
        <v>9</v>
      </c>
      <c r="C474" s="2" t="s">
        <v>47</v>
      </c>
      <c r="D474" s="2" t="s">
        <v>11</v>
      </c>
      <c r="E474" s="39" t="s">
        <v>490</v>
      </c>
      <c r="F474" s="40" t="str">
        <f>DailyCompletionTable[[#This Row],[TABLE_NAME]]&amp;DailyCompletionTable[[#This Row],[PROCESS_DATE]]</f>
        <v>PTH_TN_HIST2021-01-29</v>
      </c>
      <c r="G474" s="41">
        <f>DATE(LEFT(DailyCompletionTable[[#This Row],[PROCESS_DATE]],4),MID(DailyCompletionTable[[#This Row],[PROCESS_DATE]],6,2),MID(DailyCompletionTable[[#This Row],[PROCESS_DATE]],9,2))</f>
        <v>44225</v>
      </c>
      <c r="H47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75" spans="1:8" x14ac:dyDescent="0.3">
      <c r="A475" s="2" t="s">
        <v>489</v>
      </c>
      <c r="B475" s="2" t="s">
        <v>9</v>
      </c>
      <c r="C475" s="2" t="s">
        <v>48</v>
      </c>
      <c r="D475" s="2" t="s">
        <v>11</v>
      </c>
      <c r="E475" s="39" t="s">
        <v>490</v>
      </c>
      <c r="F475" s="40" t="str">
        <f>DailyCompletionTable[[#This Row],[TABLE_NAME]]&amp;DailyCompletionTable[[#This Row],[PROCESS_DATE]]</f>
        <v>PTM_TSK_MSGS2021-01-29</v>
      </c>
      <c r="G475" s="41">
        <f>DATE(LEFT(DailyCompletionTable[[#This Row],[PROCESS_DATE]],4),MID(DailyCompletionTable[[#This Row],[PROCESS_DATE]],6,2),MID(DailyCompletionTable[[#This Row],[PROCESS_DATE]],9,2))</f>
        <v>44225</v>
      </c>
      <c r="H47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76" spans="1:8" x14ac:dyDescent="0.3">
      <c r="A476" s="2" t="s">
        <v>489</v>
      </c>
      <c r="B476" s="2" t="s">
        <v>9</v>
      </c>
      <c r="C476" s="2" t="s">
        <v>49</v>
      </c>
      <c r="D476" s="2" t="s">
        <v>11</v>
      </c>
      <c r="E476" s="39" t="s">
        <v>490</v>
      </c>
      <c r="F476" s="40" t="str">
        <f>DailyCompletionTable[[#This Row],[TABLE_NAME]]&amp;DailyCompletionTable[[#This Row],[PROCESS_DATE]]</f>
        <v>PTN_TN_INVENTORY2021-01-29</v>
      </c>
      <c r="G476" s="41">
        <f>DATE(LEFT(DailyCompletionTable[[#This Row],[PROCESS_DATE]],4),MID(DailyCompletionTable[[#This Row],[PROCESS_DATE]],6,2),MID(DailyCompletionTable[[#This Row],[PROCESS_DATE]],9,2))</f>
        <v>44225</v>
      </c>
      <c r="H47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77" spans="1:8" x14ac:dyDescent="0.3">
      <c r="A477" s="2" t="s">
        <v>489</v>
      </c>
      <c r="B477" s="2" t="s">
        <v>9</v>
      </c>
      <c r="C477" s="2" t="s">
        <v>50</v>
      </c>
      <c r="D477" s="2" t="s">
        <v>11</v>
      </c>
      <c r="E477" s="39" t="s">
        <v>21</v>
      </c>
      <c r="F477" s="40" t="str">
        <f>DailyCompletionTable[[#This Row],[TABLE_NAME]]&amp;DailyCompletionTable[[#This Row],[PROCESS_DATE]]</f>
        <v>PTP_ACCT_TPV_HIST2021-01-29</v>
      </c>
      <c r="G477" s="41">
        <f>DATE(LEFT(DailyCompletionTable[[#This Row],[PROCESS_DATE]],4),MID(DailyCompletionTable[[#This Row],[PROCESS_DATE]],6,2),MID(DailyCompletionTable[[#This Row],[PROCESS_DATE]],9,2))</f>
        <v>44225</v>
      </c>
      <c r="H47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78" spans="1:8" x14ac:dyDescent="0.3">
      <c r="A478" s="2" t="s">
        <v>489</v>
      </c>
      <c r="B478" s="2" t="s">
        <v>9</v>
      </c>
      <c r="C478" s="2" t="s">
        <v>51</v>
      </c>
      <c r="D478" s="2" t="s">
        <v>11</v>
      </c>
      <c r="E478" s="39" t="s">
        <v>52</v>
      </c>
      <c r="F478" s="40" t="str">
        <f>DailyCompletionTable[[#This Row],[TABLE_NAME]]&amp;DailyCompletionTable[[#This Row],[PROCESS_DATE]]</f>
        <v>PUDF2021-01-29</v>
      </c>
      <c r="G478" s="41">
        <f>DATE(LEFT(DailyCompletionTable[[#This Row],[PROCESS_DATE]],4),MID(DailyCompletionTable[[#This Row],[PROCESS_DATE]],6,2),MID(DailyCompletionTable[[#This Row],[PROCESS_DATE]],9,2))</f>
        <v>44225</v>
      </c>
      <c r="H47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44224.910532407404</v>
      </c>
    </row>
    <row r="479" spans="1:8" x14ac:dyDescent="0.3">
      <c r="A479" s="2" t="s">
        <v>489</v>
      </c>
      <c r="B479" s="2" t="s">
        <v>9</v>
      </c>
      <c r="C479" s="2" t="s">
        <v>53</v>
      </c>
      <c r="D479" s="2" t="s">
        <v>11</v>
      </c>
      <c r="E479" s="39" t="s">
        <v>490</v>
      </c>
      <c r="F479" s="40" t="str">
        <f>DailyCompletionTable[[#This Row],[TABLE_NAME]]&amp;DailyCompletionTable[[#This Row],[PROCESS_DATE]]</f>
        <v>PUD_USER_DEFINITION2021-01-29</v>
      </c>
      <c r="G479" s="41">
        <f>DATE(LEFT(DailyCompletionTable[[#This Row],[PROCESS_DATE]],4),MID(DailyCompletionTable[[#This Row],[PROCESS_DATE]],6,2),MID(DailyCompletionTable[[#This Row],[PROCESS_DATE]],9,2))</f>
        <v>44225</v>
      </c>
      <c r="H47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80" spans="1:8" x14ac:dyDescent="0.3">
      <c r="A480" s="2" t="s">
        <v>489</v>
      </c>
      <c r="B480" s="2" t="s">
        <v>9</v>
      </c>
      <c r="C480" s="2" t="s">
        <v>54</v>
      </c>
      <c r="D480" s="2" t="s">
        <v>11</v>
      </c>
      <c r="E480" s="39" t="s">
        <v>490</v>
      </c>
      <c r="F480" s="40" t="str">
        <f>DailyCompletionTable[[#This Row],[TABLE_NAME]]&amp;DailyCompletionTable[[#This Row],[PROCESS_DATE]]</f>
        <v>PWH_ORD_WRK_PLN_HIST2021-01-29</v>
      </c>
      <c r="G480" s="41">
        <f>DATE(LEFT(DailyCompletionTable[[#This Row],[PROCESS_DATE]],4),MID(DailyCompletionTable[[#This Row],[PROCESS_DATE]],6,2),MID(DailyCompletionTable[[#This Row],[PROCESS_DATE]],9,2))</f>
        <v>44225</v>
      </c>
      <c r="H48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81" spans="1:8" x14ac:dyDescent="0.3">
      <c r="A481" s="2" t="s">
        <v>489</v>
      </c>
      <c r="B481" s="2" t="s">
        <v>9</v>
      </c>
      <c r="C481" s="2" t="s">
        <v>55</v>
      </c>
      <c r="D481" s="2" t="s">
        <v>11</v>
      </c>
      <c r="E481" s="39" t="s">
        <v>493</v>
      </c>
      <c r="F481" s="40" t="str">
        <f>DailyCompletionTable[[#This Row],[TABLE_NAME]]&amp;DailyCompletionTable[[#This Row],[PROCESS_DATE]]</f>
        <v>PWI_ORD_WRK_PLN_ITM2021-01-29</v>
      </c>
      <c r="G481" s="41">
        <f>DATE(LEFT(DailyCompletionTable[[#This Row],[PROCESS_DATE]],4),MID(DailyCompletionTable[[#This Row],[PROCESS_DATE]],6,2),MID(DailyCompletionTable[[#This Row],[PROCESS_DATE]],9,2))</f>
        <v>44225</v>
      </c>
      <c r="H48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44225.009791666664</v>
      </c>
    </row>
    <row r="482" spans="1:8" x14ac:dyDescent="0.3">
      <c r="A482" s="2" t="s">
        <v>489</v>
      </c>
      <c r="B482" s="2" t="s">
        <v>9</v>
      </c>
      <c r="C482" s="2" t="s">
        <v>57</v>
      </c>
      <c r="D482" s="2" t="s">
        <v>11</v>
      </c>
      <c r="E482" s="39" t="s">
        <v>490</v>
      </c>
      <c r="F482" s="40" t="str">
        <f>DailyCompletionTable[[#This Row],[TABLE_NAME]]&amp;DailyCompletionTable[[#This Row],[PROCESS_DATE]]</f>
        <v>PWP_ORD_WRK_PLN2021-01-29</v>
      </c>
      <c r="G482" s="41">
        <f>DATE(LEFT(DailyCompletionTable[[#This Row],[PROCESS_DATE]],4),MID(DailyCompletionTable[[#This Row],[PROCESS_DATE]],6,2),MID(DailyCompletionTable[[#This Row],[PROCESS_DATE]],9,2))</f>
        <v>44225</v>
      </c>
      <c r="H48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44224.879201388889</v>
      </c>
    </row>
    <row r="483" spans="1:8" x14ac:dyDescent="0.3">
      <c r="A483" s="2" t="s">
        <v>489</v>
      </c>
      <c r="B483" s="2" t="s">
        <v>9</v>
      </c>
      <c r="C483" s="2" t="s">
        <v>58</v>
      </c>
      <c r="D483" s="2" t="s">
        <v>11</v>
      </c>
      <c r="E483" s="39" t="s">
        <v>59</v>
      </c>
      <c r="F483" s="40" t="str">
        <f>DailyCompletionTable[[#This Row],[TABLE_NAME]]&amp;DailyCompletionTable[[#This Row],[PROCESS_DATE]]</f>
        <v>UDF2021-01-29</v>
      </c>
      <c r="G483" s="41">
        <f>DATE(LEFT(DailyCompletionTable[[#This Row],[PROCESS_DATE]],4),MID(DailyCompletionTable[[#This Row],[PROCESS_DATE]],6,2),MID(DailyCompletionTable[[#This Row],[PROCESS_DATE]],9,2))</f>
        <v>44225</v>
      </c>
      <c r="H48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44224.855740740742</v>
      </c>
    </row>
    <row r="484" spans="1:8" x14ac:dyDescent="0.3">
      <c r="A484" s="2" t="s">
        <v>489</v>
      </c>
      <c r="B484" s="2" t="s">
        <v>9</v>
      </c>
      <c r="C484" s="2" t="s">
        <v>60</v>
      </c>
      <c r="D484" s="2" t="s">
        <v>11</v>
      </c>
      <c r="E484" s="39" t="s">
        <v>21</v>
      </c>
      <c r="F484" s="40" t="str">
        <f>DailyCompletionTable[[#This Row],[TABLE_NAME]]&amp;DailyCompletionTable[[#This Row],[PROCESS_DATE]]</f>
        <v>USC_USOC_CODES2021-01-29</v>
      </c>
      <c r="G484" s="41">
        <f>DATE(LEFT(DailyCompletionTable[[#This Row],[PROCESS_DATE]],4),MID(DailyCompletionTable[[#This Row],[PROCESS_DATE]],6,2),MID(DailyCompletionTable[[#This Row],[PROCESS_DATE]],9,2))</f>
        <v>44225</v>
      </c>
      <c r="H48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44224.844317129631</v>
      </c>
    </row>
    <row r="485" spans="1:8" x14ac:dyDescent="0.3">
      <c r="A485" s="2" t="s">
        <v>489</v>
      </c>
      <c r="B485" s="2" t="s">
        <v>9</v>
      </c>
      <c r="C485" s="2" t="s">
        <v>61</v>
      </c>
      <c r="D485" s="2" t="s">
        <v>11</v>
      </c>
      <c r="E485" s="39" t="s">
        <v>494</v>
      </c>
      <c r="F485" s="40" t="str">
        <f>DailyCompletionTable[[#This Row],[TABLE_NAME]]&amp;DailyCompletionTable[[#This Row],[PROCESS_DATE]]</f>
        <v>VIPACBT2021-01-29</v>
      </c>
      <c r="G485" s="41">
        <f>DATE(LEFT(DailyCompletionTable[[#This Row],[PROCESS_DATE]],4),MID(DailyCompletionTable[[#This Row],[PROCESS_DATE]],6,2),MID(DailyCompletionTable[[#This Row],[PROCESS_DATE]],9,2))</f>
        <v>44225</v>
      </c>
      <c r="H48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44224.963888888888</v>
      </c>
    </row>
    <row r="486" spans="1:8" x14ac:dyDescent="0.3">
      <c r="A486" s="2" t="s">
        <v>489</v>
      </c>
      <c r="B486" s="2" t="s">
        <v>9</v>
      </c>
      <c r="C486" s="2" t="s">
        <v>63</v>
      </c>
      <c r="D486" s="2" t="s">
        <v>11</v>
      </c>
      <c r="E486" s="39" t="s">
        <v>495</v>
      </c>
      <c r="F486" s="40" t="str">
        <f>DailyCompletionTable[[#This Row],[TABLE_NAME]]&amp;DailyCompletionTable[[#This Row],[PROCESS_DATE]]</f>
        <v>VIPACDT2021-01-29</v>
      </c>
      <c r="G486" s="41">
        <f>DATE(LEFT(DailyCompletionTable[[#This Row],[PROCESS_DATE]],4),MID(DailyCompletionTable[[#This Row],[PROCESS_DATE]],6,2),MID(DailyCompletionTable[[#This Row],[PROCESS_DATE]],9,2))</f>
        <v>44225</v>
      </c>
      <c r="H48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44224.956423611111</v>
      </c>
    </row>
    <row r="487" spans="1:8" x14ac:dyDescent="0.3">
      <c r="A487" s="2" t="s">
        <v>489</v>
      </c>
      <c r="B487" s="2" t="s">
        <v>9</v>
      </c>
      <c r="C487" s="2" t="s">
        <v>65</v>
      </c>
      <c r="D487" s="2" t="s">
        <v>11</v>
      </c>
      <c r="E487" s="39" t="s">
        <v>496</v>
      </c>
      <c r="F487" s="40" t="str">
        <f>DailyCompletionTable[[#This Row],[TABLE_NAME]]&amp;DailyCompletionTable[[#This Row],[PROCESS_DATE]]</f>
        <v>VIPACRT2021-01-29</v>
      </c>
      <c r="G487" s="41">
        <f>DATE(LEFT(DailyCompletionTable[[#This Row],[PROCESS_DATE]],4),MID(DailyCompletionTable[[#This Row],[PROCESS_DATE]],6,2),MID(DailyCompletionTable[[#This Row],[PROCESS_DATE]],9,2))</f>
        <v>44225</v>
      </c>
      <c r="H48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44224.965277777781</v>
      </c>
    </row>
    <row r="488" spans="1:8" x14ac:dyDescent="0.3">
      <c r="A488" s="2" t="s">
        <v>489</v>
      </c>
      <c r="B488" s="2" t="s">
        <v>9</v>
      </c>
      <c r="C488" s="2" t="s">
        <v>67</v>
      </c>
      <c r="D488" s="2" t="s">
        <v>11</v>
      </c>
      <c r="E488" s="39" t="s">
        <v>68</v>
      </c>
      <c r="F488" s="40" t="str">
        <f>DailyCompletionTable[[#This Row],[TABLE_NAME]]&amp;DailyCompletionTable[[#This Row],[PROCESS_DATE]]</f>
        <v>VIPADGT2021-01-29</v>
      </c>
      <c r="G488" s="41">
        <f>DATE(LEFT(DailyCompletionTable[[#This Row],[PROCESS_DATE]],4),MID(DailyCompletionTable[[#This Row],[PROCESS_DATE]],6,2),MID(DailyCompletionTable[[#This Row],[PROCESS_DATE]],9,2))</f>
        <v>44225</v>
      </c>
      <c r="H48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489" spans="1:8" x14ac:dyDescent="0.3">
      <c r="A489" s="2" t="s">
        <v>489</v>
      </c>
      <c r="B489" s="2" t="s">
        <v>9</v>
      </c>
      <c r="C489" s="2" t="s">
        <v>69</v>
      </c>
      <c r="D489" s="2" t="s">
        <v>70</v>
      </c>
      <c r="E489" s="39" t="s">
        <v>497</v>
      </c>
      <c r="F489" s="40" t="str">
        <f>DailyCompletionTable[[#This Row],[TABLE_NAME]]&amp;DailyCompletionTable[[#This Row],[PROCESS_DATE]]</f>
        <v>VIPADJT2021-01-22</v>
      </c>
      <c r="G489" s="41">
        <f>DATE(LEFT(DailyCompletionTable[[#This Row],[PROCESS_DATE]],4),MID(DailyCompletionTable[[#This Row],[PROCESS_DATE]],6,2),MID(DailyCompletionTable[[#This Row],[PROCESS_DATE]],9,2))</f>
        <v>44218</v>
      </c>
      <c r="H48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44218.227418981478</v>
      </c>
    </row>
    <row r="490" spans="1:8" x14ac:dyDescent="0.3">
      <c r="A490" s="2" t="s">
        <v>489</v>
      </c>
      <c r="B490" s="2" t="s">
        <v>9</v>
      </c>
      <c r="C490" s="2" t="s">
        <v>72</v>
      </c>
      <c r="D490" s="2" t="s">
        <v>11</v>
      </c>
      <c r="E490" s="39" t="s">
        <v>498</v>
      </c>
      <c r="F490" s="40" t="str">
        <f>DailyCompletionTable[[#This Row],[TABLE_NAME]]&amp;DailyCompletionTable[[#This Row],[PROCESS_DATE]]</f>
        <v>VIPAHBT2021-01-29</v>
      </c>
      <c r="G490" s="41">
        <f>DATE(LEFT(DailyCompletionTable[[#This Row],[PROCESS_DATE]],4),MID(DailyCompletionTable[[#This Row],[PROCESS_DATE]],6,2),MID(DailyCompletionTable[[#This Row],[PROCESS_DATE]],9,2))</f>
        <v>44225</v>
      </c>
      <c r="H49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44224.847361111111</v>
      </c>
    </row>
    <row r="491" spans="1:8" x14ac:dyDescent="0.3">
      <c r="A491" s="2" t="s">
        <v>489</v>
      </c>
      <c r="B491" s="2" t="s">
        <v>9</v>
      </c>
      <c r="C491" s="2" t="s">
        <v>74</v>
      </c>
      <c r="D491" s="2" t="s">
        <v>11</v>
      </c>
      <c r="E491" s="39" t="s">
        <v>499</v>
      </c>
      <c r="F491" s="40" t="str">
        <f>DailyCompletionTable[[#This Row],[TABLE_NAME]]&amp;DailyCompletionTable[[#This Row],[PROCESS_DATE]]</f>
        <v>VIPAHCT2021-01-29</v>
      </c>
      <c r="G491" s="41">
        <f>DATE(LEFT(DailyCompletionTable[[#This Row],[PROCESS_DATE]],4),MID(DailyCompletionTable[[#This Row],[PROCESS_DATE]],6,2),MID(DailyCompletionTable[[#This Row],[PROCESS_DATE]],9,2))</f>
        <v>44225</v>
      </c>
      <c r="H49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44224.847199074073</v>
      </c>
    </row>
    <row r="492" spans="1:8" x14ac:dyDescent="0.3">
      <c r="A492" s="2" t="s">
        <v>489</v>
      </c>
      <c r="B492" s="2" t="s">
        <v>9</v>
      </c>
      <c r="C492" s="2" t="s">
        <v>76</v>
      </c>
      <c r="D492" s="2" t="s">
        <v>11</v>
      </c>
      <c r="E492" s="39" t="s">
        <v>499</v>
      </c>
      <c r="F492" s="40" t="str">
        <f>DailyCompletionTable[[#This Row],[TABLE_NAME]]&amp;DailyCompletionTable[[#This Row],[PROCESS_DATE]]</f>
        <v>VIPAHGT2021-01-29</v>
      </c>
      <c r="G492" s="41">
        <f>DATE(LEFT(DailyCompletionTable[[#This Row],[PROCESS_DATE]],4),MID(DailyCompletionTable[[#This Row],[PROCESS_DATE]],6,2),MID(DailyCompletionTable[[#This Row],[PROCESS_DATE]],9,2))</f>
        <v>44225</v>
      </c>
      <c r="H49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44224.847199074073</v>
      </c>
    </row>
    <row r="493" spans="1:8" x14ac:dyDescent="0.3">
      <c r="A493" s="2" t="s">
        <v>489</v>
      </c>
      <c r="B493" s="2" t="s">
        <v>9</v>
      </c>
      <c r="C493" s="2" t="s">
        <v>78</v>
      </c>
      <c r="D493" s="2" t="s">
        <v>11</v>
      </c>
      <c r="E493" s="39" t="s">
        <v>500</v>
      </c>
      <c r="F493" s="40" t="str">
        <f>DailyCompletionTable[[#This Row],[TABLE_NAME]]&amp;DailyCompletionTable[[#This Row],[PROCESS_DATE]]</f>
        <v>VIPAHMT2021-01-29</v>
      </c>
      <c r="G493" s="41">
        <f>DATE(LEFT(DailyCompletionTable[[#This Row],[PROCESS_DATE]],4),MID(DailyCompletionTable[[#This Row],[PROCESS_DATE]],6,2),MID(DailyCompletionTable[[#This Row],[PROCESS_DATE]],9,2))</f>
        <v>44225</v>
      </c>
      <c r="H49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44224.84747685185</v>
      </c>
    </row>
    <row r="494" spans="1:8" x14ac:dyDescent="0.3">
      <c r="A494" s="2" t="s">
        <v>489</v>
      </c>
      <c r="B494" s="2" t="s">
        <v>9</v>
      </c>
      <c r="C494" s="2" t="s">
        <v>80</v>
      </c>
      <c r="D494" s="2" t="s">
        <v>11</v>
      </c>
      <c r="E494" s="39" t="s">
        <v>501</v>
      </c>
      <c r="F494" s="40" t="str">
        <f>DailyCompletionTable[[#This Row],[TABLE_NAME]]&amp;DailyCompletionTable[[#This Row],[PROCESS_DATE]]</f>
        <v>VIPAHPT2021-01-29</v>
      </c>
      <c r="G494" s="41">
        <f>DATE(LEFT(DailyCompletionTable[[#This Row],[PROCESS_DATE]],4),MID(DailyCompletionTable[[#This Row],[PROCESS_DATE]],6,2),MID(DailyCompletionTable[[#This Row],[PROCESS_DATE]],9,2))</f>
        <v>44225</v>
      </c>
      <c r="H49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44224.847905092596</v>
      </c>
    </row>
    <row r="495" spans="1:8" x14ac:dyDescent="0.3">
      <c r="A495" s="2" t="s">
        <v>489</v>
      </c>
      <c r="B495" s="2" t="s">
        <v>9</v>
      </c>
      <c r="C495" s="2" t="s">
        <v>82</v>
      </c>
      <c r="D495" s="2" t="s">
        <v>11</v>
      </c>
      <c r="E495" s="39" t="s">
        <v>502</v>
      </c>
      <c r="F495" s="40" t="str">
        <f>DailyCompletionTable[[#This Row],[TABLE_NAME]]&amp;DailyCompletionTable[[#This Row],[PROCESS_DATE]]</f>
        <v>VIPAHTT2021-01-29</v>
      </c>
      <c r="G495" s="41">
        <f>DATE(LEFT(DailyCompletionTable[[#This Row],[PROCESS_DATE]],4),MID(DailyCompletionTable[[#This Row],[PROCESS_DATE]],6,2),MID(DailyCompletionTable[[#This Row],[PROCESS_DATE]],9,2))</f>
        <v>44225</v>
      </c>
      <c r="H49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44224.847384259258</v>
      </c>
    </row>
    <row r="496" spans="1:8" x14ac:dyDescent="0.3">
      <c r="A496" s="2" t="s">
        <v>489</v>
      </c>
      <c r="B496" s="2" t="s">
        <v>9</v>
      </c>
      <c r="C496" s="2" t="s">
        <v>84</v>
      </c>
      <c r="D496" s="2" t="s">
        <v>11</v>
      </c>
      <c r="E496" s="39" t="s">
        <v>503</v>
      </c>
      <c r="F496" s="40" t="str">
        <f>DailyCompletionTable[[#This Row],[TABLE_NAME]]&amp;DailyCompletionTable[[#This Row],[PROCESS_DATE]]</f>
        <v>VIPAIUT2021-01-29</v>
      </c>
      <c r="G496" s="41">
        <f>DATE(LEFT(DailyCompletionTable[[#This Row],[PROCESS_DATE]],4),MID(DailyCompletionTable[[#This Row],[PROCESS_DATE]],6,2),MID(DailyCompletionTable[[#This Row],[PROCESS_DATE]],9,2))</f>
        <v>44225</v>
      </c>
      <c r="H49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44224.847326388888</v>
      </c>
    </row>
    <row r="497" spans="1:8" x14ac:dyDescent="0.3">
      <c r="A497" s="2" t="s">
        <v>489</v>
      </c>
      <c r="B497" s="2" t="s">
        <v>9</v>
      </c>
      <c r="C497" s="2" t="s">
        <v>86</v>
      </c>
      <c r="D497" s="2" t="s">
        <v>11</v>
      </c>
      <c r="E497" s="39" t="s">
        <v>504</v>
      </c>
      <c r="F497" s="40" t="str">
        <f>DailyCompletionTable[[#This Row],[TABLE_NAME]]&amp;DailyCompletionTable[[#This Row],[PROCESS_DATE]]</f>
        <v>VIPALAT2021-01-29</v>
      </c>
      <c r="G497" s="41">
        <f>DATE(LEFT(DailyCompletionTable[[#This Row],[PROCESS_DATE]],4),MID(DailyCompletionTable[[#This Row],[PROCESS_DATE]],6,2),MID(DailyCompletionTable[[#This Row],[PROCESS_DATE]],9,2))</f>
        <v>44225</v>
      </c>
      <c r="H49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44224.849687499998</v>
      </c>
    </row>
    <row r="498" spans="1:8" x14ac:dyDescent="0.3">
      <c r="A498" s="2" t="s">
        <v>489</v>
      </c>
      <c r="B498" s="2" t="s">
        <v>9</v>
      </c>
      <c r="C498" s="2" t="s">
        <v>88</v>
      </c>
      <c r="D498" s="2" t="s">
        <v>11</v>
      </c>
      <c r="E498" s="39" t="s">
        <v>505</v>
      </c>
      <c r="F498" s="40" t="str">
        <f>DailyCompletionTable[[#This Row],[TABLE_NAME]]&amp;DailyCompletionTable[[#This Row],[PROCESS_DATE]]</f>
        <v>VIPARPT2021-01-29</v>
      </c>
      <c r="G498" s="41">
        <f>DATE(LEFT(DailyCompletionTable[[#This Row],[PROCESS_DATE]],4),MID(DailyCompletionTable[[#This Row],[PROCESS_DATE]],6,2),MID(DailyCompletionTable[[#This Row],[PROCESS_DATE]],9,2))</f>
        <v>44225</v>
      </c>
      <c r="H49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44224.959999999999</v>
      </c>
    </row>
    <row r="499" spans="1:8" x14ac:dyDescent="0.3">
      <c r="A499" s="2" t="s">
        <v>489</v>
      </c>
      <c r="B499" s="2" t="s">
        <v>9</v>
      </c>
      <c r="C499" s="2" t="s">
        <v>90</v>
      </c>
      <c r="D499" s="2" t="s">
        <v>11</v>
      </c>
      <c r="E499" s="39" t="s">
        <v>506</v>
      </c>
      <c r="F499" s="40" t="str">
        <f>DailyCompletionTable[[#This Row],[TABLE_NAME]]&amp;DailyCompletionTable[[#This Row],[PROCESS_DATE]]</f>
        <v>VIPC26T2021-01-29</v>
      </c>
      <c r="G499" s="41">
        <f>DATE(LEFT(DailyCompletionTable[[#This Row],[PROCESS_DATE]],4),MID(DailyCompletionTable[[#This Row],[PROCESS_DATE]],6,2),MID(DailyCompletionTable[[#This Row],[PROCESS_DATE]],9,2))</f>
        <v>44225</v>
      </c>
      <c r="H49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44224.847939814812</v>
      </c>
    </row>
    <row r="500" spans="1:8" x14ac:dyDescent="0.3">
      <c r="A500" s="2" t="s">
        <v>489</v>
      </c>
      <c r="B500" s="2" t="s">
        <v>9</v>
      </c>
      <c r="C500" s="2" t="s">
        <v>92</v>
      </c>
      <c r="D500" s="2" t="s">
        <v>11</v>
      </c>
      <c r="E500" s="39" t="s">
        <v>507</v>
      </c>
      <c r="F500" s="40" t="str">
        <f>DailyCompletionTable[[#This Row],[TABLE_NAME]]&amp;DailyCompletionTable[[#This Row],[PROCESS_DATE]]</f>
        <v>VIPC32T2021-01-29</v>
      </c>
      <c r="G500" s="41">
        <f>DATE(LEFT(DailyCompletionTable[[#This Row],[PROCESS_DATE]],4),MID(DailyCompletionTable[[#This Row],[PROCESS_DATE]],6,2),MID(DailyCompletionTable[[#This Row],[PROCESS_DATE]],9,2))</f>
        <v>44225</v>
      </c>
      <c r="H50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44224.847662037035</v>
      </c>
    </row>
    <row r="501" spans="1:8" x14ac:dyDescent="0.3">
      <c r="A501" s="2" t="s">
        <v>489</v>
      </c>
      <c r="B501" s="2" t="s">
        <v>9</v>
      </c>
      <c r="C501" s="2" t="s">
        <v>94</v>
      </c>
      <c r="D501" s="2" t="s">
        <v>11</v>
      </c>
      <c r="E501" s="39" t="s">
        <v>508</v>
      </c>
      <c r="F501" s="40" t="str">
        <f>DailyCompletionTable[[#This Row],[TABLE_NAME]]&amp;DailyCompletionTable[[#This Row],[PROCESS_DATE]]</f>
        <v>VIPCATT2021-01-29</v>
      </c>
      <c r="G501" s="41">
        <f>DATE(LEFT(DailyCompletionTable[[#This Row],[PROCESS_DATE]],4),MID(DailyCompletionTable[[#This Row],[PROCESS_DATE]],6,2),MID(DailyCompletionTable[[#This Row],[PROCESS_DATE]],9,2))</f>
        <v>44225</v>
      </c>
      <c r="H50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44224.847488425927</v>
      </c>
    </row>
    <row r="502" spans="1:8" x14ac:dyDescent="0.3">
      <c r="A502" s="2" t="s">
        <v>489</v>
      </c>
      <c r="B502" s="2" t="s">
        <v>9</v>
      </c>
      <c r="C502" s="2" t="s">
        <v>96</v>
      </c>
      <c r="D502" s="2" t="s">
        <v>11</v>
      </c>
      <c r="E502" s="39" t="s">
        <v>387</v>
      </c>
      <c r="F502" s="40" t="str">
        <f>DailyCompletionTable[[#This Row],[TABLE_NAME]]&amp;DailyCompletionTable[[#This Row],[PROCESS_DATE]]</f>
        <v>VIPCCAT2021-01-29</v>
      </c>
      <c r="G502" s="41">
        <f>DATE(LEFT(DailyCompletionTable[[#This Row],[PROCESS_DATE]],4),MID(DailyCompletionTable[[#This Row],[PROCESS_DATE]],6,2),MID(DailyCompletionTable[[#This Row],[PROCESS_DATE]],9,2))</f>
        <v>44225</v>
      </c>
      <c r="H50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44224.857685185183</v>
      </c>
    </row>
    <row r="503" spans="1:8" x14ac:dyDescent="0.3">
      <c r="A503" s="2" t="s">
        <v>489</v>
      </c>
      <c r="B503" s="2" t="s">
        <v>9</v>
      </c>
      <c r="C503" s="2" t="s">
        <v>98</v>
      </c>
      <c r="D503" s="2" t="s">
        <v>11</v>
      </c>
      <c r="E503" s="39" t="s">
        <v>509</v>
      </c>
      <c r="F503" s="40" t="str">
        <f>DailyCompletionTable[[#This Row],[TABLE_NAME]]&amp;DailyCompletionTable[[#This Row],[PROCESS_DATE]]</f>
        <v>VIPCCTT2021-01-29</v>
      </c>
      <c r="G503" s="41">
        <f>DATE(LEFT(DailyCompletionTable[[#This Row],[PROCESS_DATE]],4),MID(DailyCompletionTable[[#This Row],[PROCESS_DATE]],6,2),MID(DailyCompletionTable[[#This Row],[PROCESS_DATE]],9,2))</f>
        <v>44225</v>
      </c>
      <c r="H50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44224.847581018519</v>
      </c>
    </row>
    <row r="504" spans="1:8" x14ac:dyDescent="0.3">
      <c r="A504" s="2" t="s">
        <v>489</v>
      </c>
      <c r="B504" s="2" t="s">
        <v>9</v>
      </c>
      <c r="C504" s="2" t="s">
        <v>100</v>
      </c>
      <c r="D504" s="2" t="s">
        <v>11</v>
      </c>
      <c r="E504" s="39" t="s">
        <v>510</v>
      </c>
      <c r="F504" s="40" t="str">
        <f>DailyCompletionTable[[#This Row],[TABLE_NAME]]&amp;DailyCompletionTable[[#This Row],[PROCESS_DATE]]</f>
        <v>VIPCCXT2021-01-29</v>
      </c>
      <c r="G504" s="41">
        <f>DATE(LEFT(DailyCompletionTable[[#This Row],[PROCESS_DATE]],4),MID(DailyCompletionTable[[#This Row],[PROCESS_DATE]],6,2),MID(DailyCompletionTable[[#This Row],[PROCESS_DATE]],9,2))</f>
        <v>44225</v>
      </c>
      <c r="H50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44224.847546296296</v>
      </c>
    </row>
    <row r="505" spans="1:8" x14ac:dyDescent="0.3">
      <c r="A505" s="2" t="s">
        <v>489</v>
      </c>
      <c r="B505" s="2" t="s">
        <v>9</v>
      </c>
      <c r="C505" s="2" t="s">
        <v>102</v>
      </c>
      <c r="D505" s="2" t="s">
        <v>11</v>
      </c>
      <c r="E505" s="39" t="s">
        <v>511</v>
      </c>
      <c r="F505" s="40" t="str">
        <f>DailyCompletionTable[[#This Row],[TABLE_NAME]]&amp;DailyCompletionTable[[#This Row],[PROCESS_DATE]]</f>
        <v>VIPCCYT2021-01-29</v>
      </c>
      <c r="G505" s="41">
        <f>DATE(LEFT(DailyCompletionTable[[#This Row],[PROCESS_DATE]],4),MID(DailyCompletionTable[[#This Row],[PROCESS_DATE]],6,2),MID(DailyCompletionTable[[#This Row],[PROCESS_DATE]],9,2))</f>
        <v>44225</v>
      </c>
      <c r="H50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44224.847743055558</v>
      </c>
    </row>
    <row r="506" spans="1:8" x14ac:dyDescent="0.3">
      <c r="A506" s="2" t="s">
        <v>489</v>
      </c>
      <c r="B506" s="2" t="s">
        <v>9</v>
      </c>
      <c r="C506" s="2" t="s">
        <v>104</v>
      </c>
      <c r="D506" s="2" t="s">
        <v>11</v>
      </c>
      <c r="E506" s="39" t="s">
        <v>512</v>
      </c>
      <c r="F506" s="40" t="str">
        <f>DailyCompletionTable[[#This Row],[TABLE_NAME]]&amp;DailyCompletionTable[[#This Row],[PROCESS_DATE]]</f>
        <v>VIPCDAT2021-01-29</v>
      </c>
      <c r="G506" s="41">
        <f>DATE(LEFT(DailyCompletionTable[[#This Row],[PROCESS_DATE]],4),MID(DailyCompletionTable[[#This Row],[PROCESS_DATE]],6,2),MID(DailyCompletionTable[[#This Row],[PROCESS_DATE]],9,2))</f>
        <v>44225</v>
      </c>
      <c r="H50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44224.847986111112</v>
      </c>
    </row>
    <row r="507" spans="1:8" x14ac:dyDescent="0.3">
      <c r="A507" s="2" t="s">
        <v>489</v>
      </c>
      <c r="B507" s="2" t="s">
        <v>9</v>
      </c>
      <c r="C507" s="2" t="s">
        <v>106</v>
      </c>
      <c r="D507" s="2" t="s">
        <v>11</v>
      </c>
      <c r="E507" s="39" t="s">
        <v>506</v>
      </c>
      <c r="F507" s="40" t="str">
        <f>DailyCompletionTable[[#This Row],[TABLE_NAME]]&amp;DailyCompletionTable[[#This Row],[PROCESS_DATE]]</f>
        <v>VIPCDBT2021-01-29</v>
      </c>
      <c r="G507" s="41">
        <f>DATE(LEFT(DailyCompletionTable[[#This Row],[PROCESS_DATE]],4),MID(DailyCompletionTable[[#This Row],[PROCESS_DATE]],6,2),MID(DailyCompletionTable[[#This Row],[PROCESS_DATE]],9,2))</f>
        <v>44225</v>
      </c>
      <c r="H50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44224.847939814812</v>
      </c>
    </row>
    <row r="508" spans="1:8" x14ac:dyDescent="0.3">
      <c r="A508" s="2" t="s">
        <v>489</v>
      </c>
      <c r="B508" s="2" t="s">
        <v>9</v>
      </c>
      <c r="C508" s="2" t="s">
        <v>107</v>
      </c>
      <c r="D508" s="2" t="s">
        <v>11</v>
      </c>
      <c r="E508" s="39" t="s">
        <v>513</v>
      </c>
      <c r="F508" s="40" t="str">
        <f>DailyCompletionTable[[#This Row],[TABLE_NAME]]&amp;DailyCompletionTable[[#This Row],[PROCESS_DATE]]</f>
        <v>VIPCDCT2021-01-29</v>
      </c>
      <c r="G508" s="41">
        <f>DATE(LEFT(DailyCompletionTable[[#This Row],[PROCESS_DATE]],4),MID(DailyCompletionTable[[#This Row],[PROCESS_DATE]],6,2),MID(DailyCompletionTable[[#This Row],[PROCESS_DATE]],9,2))</f>
        <v>44225</v>
      </c>
      <c r="H50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44224.847731481481</v>
      </c>
    </row>
    <row r="509" spans="1:8" x14ac:dyDescent="0.3">
      <c r="A509" s="2" t="s">
        <v>489</v>
      </c>
      <c r="B509" s="2" t="s">
        <v>9</v>
      </c>
      <c r="C509" s="2" t="s">
        <v>109</v>
      </c>
      <c r="D509" s="2" t="s">
        <v>11</v>
      </c>
      <c r="E509" s="39" t="s">
        <v>514</v>
      </c>
      <c r="F509" s="40" t="str">
        <f>DailyCompletionTable[[#This Row],[TABLE_NAME]]&amp;DailyCompletionTable[[#This Row],[PROCESS_DATE]]</f>
        <v>VIPCDRT2021-01-29</v>
      </c>
      <c r="G509" s="41">
        <f>DATE(LEFT(DailyCompletionTable[[#This Row],[PROCESS_DATE]],4),MID(DailyCompletionTable[[#This Row],[PROCESS_DATE]],6,2),MID(DailyCompletionTable[[#This Row],[PROCESS_DATE]],9,2))</f>
        <v>44225</v>
      </c>
      <c r="H50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44224.847615740742</v>
      </c>
    </row>
    <row r="510" spans="1:8" x14ac:dyDescent="0.3">
      <c r="A510" s="2" t="s">
        <v>489</v>
      </c>
      <c r="B510" s="2" t="s">
        <v>9</v>
      </c>
      <c r="C510" s="2" t="s">
        <v>110</v>
      </c>
      <c r="D510" s="2" t="s">
        <v>11</v>
      </c>
      <c r="E510" s="39" t="s">
        <v>395</v>
      </c>
      <c r="F510" s="40" t="str">
        <f>DailyCompletionTable[[#This Row],[TABLE_NAME]]&amp;DailyCompletionTable[[#This Row],[PROCESS_DATE]]</f>
        <v>VIPCECT2021-01-29</v>
      </c>
      <c r="G510" s="41">
        <f>DATE(LEFT(DailyCompletionTable[[#This Row],[PROCESS_DATE]],4),MID(DailyCompletionTable[[#This Row],[PROCESS_DATE]],6,2),MID(DailyCompletionTable[[#This Row],[PROCESS_DATE]],9,2))</f>
        <v>44225</v>
      </c>
      <c r="H51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44224.93540509259</v>
      </c>
    </row>
    <row r="511" spans="1:8" x14ac:dyDescent="0.3">
      <c r="A511" s="2" t="s">
        <v>489</v>
      </c>
      <c r="B511" s="2" t="s">
        <v>9</v>
      </c>
      <c r="C511" s="2" t="s">
        <v>112</v>
      </c>
      <c r="D511" s="2" t="s">
        <v>11</v>
      </c>
      <c r="E511" s="39" t="s">
        <v>515</v>
      </c>
      <c r="F511" s="40" t="str">
        <f>DailyCompletionTable[[#This Row],[TABLE_NAME]]&amp;DailyCompletionTable[[#This Row],[PROCESS_DATE]]</f>
        <v>VIPCEPT2021-01-29</v>
      </c>
      <c r="G511" s="41">
        <f>DATE(LEFT(DailyCompletionTable[[#This Row],[PROCESS_DATE]],4),MID(DailyCompletionTable[[#This Row],[PROCESS_DATE]],6,2),MID(DailyCompletionTable[[#This Row],[PROCESS_DATE]],9,2))</f>
        <v>44225</v>
      </c>
      <c r="H51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44224.848009259258</v>
      </c>
    </row>
    <row r="512" spans="1:8" x14ac:dyDescent="0.3">
      <c r="A512" s="2" t="s">
        <v>489</v>
      </c>
      <c r="B512" s="2" t="s">
        <v>9</v>
      </c>
      <c r="C512" s="2" t="s">
        <v>114</v>
      </c>
      <c r="D512" s="2" t="s">
        <v>11</v>
      </c>
      <c r="E512" s="39" t="s">
        <v>516</v>
      </c>
      <c r="F512" s="40" t="str">
        <f>DailyCompletionTable[[#This Row],[TABLE_NAME]]&amp;DailyCompletionTable[[#This Row],[PROCESS_DATE]]</f>
        <v>VIPCEQT2021-01-29</v>
      </c>
      <c r="G512" s="41">
        <f>DATE(LEFT(DailyCompletionTable[[#This Row],[PROCESS_DATE]],4),MID(DailyCompletionTable[[#This Row],[PROCESS_DATE]],6,2),MID(DailyCompletionTable[[#This Row],[PROCESS_DATE]],9,2))</f>
        <v>44225</v>
      </c>
      <c r="H51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44224.847048611111</v>
      </c>
    </row>
    <row r="513" spans="1:8" x14ac:dyDescent="0.3">
      <c r="A513" s="2" t="s">
        <v>489</v>
      </c>
      <c r="B513" s="2" t="s">
        <v>9</v>
      </c>
      <c r="C513" s="2" t="s">
        <v>116</v>
      </c>
      <c r="D513" s="2" t="s">
        <v>11</v>
      </c>
      <c r="E513" s="39" t="s">
        <v>395</v>
      </c>
      <c r="F513" s="40" t="str">
        <f>DailyCompletionTable[[#This Row],[TABLE_NAME]]&amp;DailyCompletionTable[[#This Row],[PROCESS_DATE]]</f>
        <v>VIPCERT2021-01-29</v>
      </c>
      <c r="G513" s="41">
        <f>DATE(LEFT(DailyCompletionTable[[#This Row],[PROCESS_DATE]],4),MID(DailyCompletionTable[[#This Row],[PROCESS_DATE]],6,2),MID(DailyCompletionTable[[#This Row],[PROCESS_DATE]],9,2))</f>
        <v>44225</v>
      </c>
      <c r="H51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44224.93540509259</v>
      </c>
    </row>
    <row r="514" spans="1:8" x14ac:dyDescent="0.3">
      <c r="A514" s="2" t="s">
        <v>489</v>
      </c>
      <c r="B514" s="2" t="s">
        <v>9</v>
      </c>
      <c r="C514" s="2" t="s">
        <v>118</v>
      </c>
      <c r="D514" s="2" t="s">
        <v>11</v>
      </c>
      <c r="E514" s="39" t="s">
        <v>517</v>
      </c>
      <c r="F514" s="40" t="str">
        <f>DailyCompletionTable[[#This Row],[TABLE_NAME]]&amp;DailyCompletionTable[[#This Row],[PROCESS_DATE]]</f>
        <v>VIPCHXT2021-01-29</v>
      </c>
      <c r="G514" s="41">
        <f>DATE(LEFT(DailyCompletionTable[[#This Row],[PROCESS_DATE]],4),MID(DailyCompletionTable[[#This Row],[PROCESS_DATE]],6,2),MID(DailyCompletionTable[[#This Row],[PROCESS_DATE]],9,2))</f>
        <v>44225</v>
      </c>
      <c r="H51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44224.847858796296</v>
      </c>
    </row>
    <row r="515" spans="1:8" x14ac:dyDescent="0.3">
      <c r="A515" s="2" t="s">
        <v>489</v>
      </c>
      <c r="B515" s="2" t="s">
        <v>9</v>
      </c>
      <c r="C515" s="2" t="s">
        <v>120</v>
      </c>
      <c r="D515" s="2" t="s">
        <v>11</v>
      </c>
      <c r="E515" s="39" t="s">
        <v>512</v>
      </c>
      <c r="F515" s="40" t="str">
        <f>DailyCompletionTable[[#This Row],[TABLE_NAME]]&amp;DailyCompletionTable[[#This Row],[PROCESS_DATE]]</f>
        <v>VIPCIPT2021-01-29</v>
      </c>
      <c r="G515" s="41">
        <f>DATE(LEFT(DailyCompletionTable[[#This Row],[PROCESS_DATE]],4),MID(DailyCompletionTable[[#This Row],[PROCESS_DATE]],6,2),MID(DailyCompletionTable[[#This Row],[PROCESS_DATE]],9,2))</f>
        <v>44225</v>
      </c>
      <c r="H51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44224.847986111112</v>
      </c>
    </row>
    <row r="516" spans="1:8" x14ac:dyDescent="0.3">
      <c r="A516" s="2" t="s">
        <v>489</v>
      </c>
      <c r="B516" s="2" t="s">
        <v>9</v>
      </c>
      <c r="C516" s="2" t="s">
        <v>122</v>
      </c>
      <c r="D516" s="2" t="s">
        <v>11</v>
      </c>
      <c r="E516" s="39" t="s">
        <v>395</v>
      </c>
      <c r="F516" s="40" t="str">
        <f>DailyCompletionTable[[#This Row],[TABLE_NAME]]&amp;DailyCompletionTable[[#This Row],[PROCESS_DATE]]</f>
        <v>VIPCKWT2021-01-29</v>
      </c>
      <c r="G516" s="41">
        <f>DATE(LEFT(DailyCompletionTable[[#This Row],[PROCESS_DATE]],4),MID(DailyCompletionTable[[#This Row],[PROCESS_DATE]],6,2),MID(DailyCompletionTable[[#This Row],[PROCESS_DATE]],9,2))</f>
        <v>44225</v>
      </c>
      <c r="H51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44224.93540509259</v>
      </c>
    </row>
    <row r="517" spans="1:8" x14ac:dyDescent="0.3">
      <c r="A517" s="2" t="s">
        <v>489</v>
      </c>
      <c r="B517" s="2" t="s">
        <v>9</v>
      </c>
      <c r="C517" s="2" t="s">
        <v>124</v>
      </c>
      <c r="D517" s="2" t="s">
        <v>11</v>
      </c>
      <c r="E517" s="39" t="s">
        <v>518</v>
      </c>
      <c r="F517" s="40" t="str">
        <f>DailyCompletionTable[[#This Row],[TABLE_NAME]]&amp;DailyCompletionTable[[#This Row],[PROCESS_DATE]]</f>
        <v>VIPCLAT2021-01-29</v>
      </c>
      <c r="G517" s="41">
        <f>DATE(LEFT(DailyCompletionTable[[#This Row],[PROCESS_DATE]],4),MID(DailyCompletionTable[[#This Row],[PROCESS_DATE]],6,2),MID(DailyCompletionTable[[#This Row],[PROCESS_DATE]],9,2))</f>
        <v>44225</v>
      </c>
      <c r="H51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44224.956469907411</v>
      </c>
    </row>
    <row r="518" spans="1:8" x14ac:dyDescent="0.3">
      <c r="A518" s="2" t="s">
        <v>489</v>
      </c>
      <c r="B518" s="2" t="s">
        <v>9</v>
      </c>
      <c r="C518" s="2" t="s">
        <v>126</v>
      </c>
      <c r="D518" s="2" t="s">
        <v>11</v>
      </c>
      <c r="E518" s="39" t="s">
        <v>519</v>
      </c>
      <c r="F518" s="40" t="str">
        <f>DailyCompletionTable[[#This Row],[TABLE_NAME]]&amp;DailyCompletionTable[[#This Row],[PROCESS_DATE]]</f>
        <v>VIPCLGT2021-01-29</v>
      </c>
      <c r="G518" s="41">
        <f>DATE(LEFT(DailyCompletionTable[[#This Row],[PROCESS_DATE]],4),MID(DailyCompletionTable[[#This Row],[PROCESS_DATE]],6,2),MID(DailyCompletionTable[[#This Row],[PROCESS_DATE]],9,2))</f>
        <v>44225</v>
      </c>
      <c r="H51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44224.847013888888</v>
      </c>
    </row>
    <row r="519" spans="1:8" x14ac:dyDescent="0.3">
      <c r="A519" s="2" t="s">
        <v>489</v>
      </c>
      <c r="B519" s="2" t="s">
        <v>9</v>
      </c>
      <c r="C519" s="2" t="s">
        <v>128</v>
      </c>
      <c r="D519" s="2" t="s">
        <v>11</v>
      </c>
      <c r="E519" s="39" t="s">
        <v>520</v>
      </c>
      <c r="F519" s="40" t="str">
        <f>DailyCompletionTable[[#This Row],[TABLE_NAME]]&amp;DailyCompletionTable[[#This Row],[PROCESS_DATE]]</f>
        <v>VIPCLST2021-01-29</v>
      </c>
      <c r="G519" s="41">
        <f>DATE(LEFT(DailyCompletionTable[[#This Row],[PROCESS_DATE]],4),MID(DailyCompletionTable[[#This Row],[PROCESS_DATE]],6,2),MID(DailyCompletionTable[[#This Row],[PROCESS_DATE]],9,2))</f>
        <v>44225</v>
      </c>
      <c r="H51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44224.847650462965</v>
      </c>
    </row>
    <row r="520" spans="1:8" x14ac:dyDescent="0.3">
      <c r="A520" s="2" t="s">
        <v>489</v>
      </c>
      <c r="B520" s="2" t="s">
        <v>9</v>
      </c>
      <c r="C520" s="2" t="s">
        <v>130</v>
      </c>
      <c r="D520" s="2" t="s">
        <v>11</v>
      </c>
      <c r="E520" s="39" t="s">
        <v>521</v>
      </c>
      <c r="F520" s="40" t="str">
        <f>DailyCompletionTable[[#This Row],[TABLE_NAME]]&amp;DailyCompletionTable[[#This Row],[PROCESS_DATE]]</f>
        <v>VIPCLTT2021-01-29</v>
      </c>
      <c r="G520" s="41">
        <f>DATE(LEFT(DailyCompletionTable[[#This Row],[PROCESS_DATE]],4),MID(DailyCompletionTable[[#This Row],[PROCESS_DATE]],6,2),MID(DailyCompletionTable[[#This Row],[PROCESS_DATE]],9,2))</f>
        <v>44225</v>
      </c>
      <c r="H52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44224.847800925927</v>
      </c>
    </row>
    <row r="521" spans="1:8" x14ac:dyDescent="0.3">
      <c r="A521" s="2" t="s">
        <v>489</v>
      </c>
      <c r="B521" s="2" t="s">
        <v>9</v>
      </c>
      <c r="C521" s="2" t="s">
        <v>131</v>
      </c>
      <c r="D521" s="2" t="s">
        <v>11</v>
      </c>
      <c r="E521" s="39" t="s">
        <v>398</v>
      </c>
      <c r="F521" s="40" t="str">
        <f>DailyCompletionTable[[#This Row],[TABLE_NAME]]&amp;DailyCompletionTable[[#This Row],[PROCESS_DATE]]</f>
        <v>VIPCMPT2021-01-29</v>
      </c>
      <c r="G521" s="41">
        <f>DATE(LEFT(DailyCompletionTable[[#This Row],[PROCESS_DATE]],4),MID(DailyCompletionTable[[#This Row],[PROCESS_DATE]],6,2),MID(DailyCompletionTable[[#This Row],[PROCESS_DATE]],9,2))</f>
        <v>44225</v>
      </c>
      <c r="H52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44224.935428240744</v>
      </c>
    </row>
    <row r="522" spans="1:8" x14ac:dyDescent="0.3">
      <c r="A522" s="2" t="s">
        <v>489</v>
      </c>
      <c r="B522" s="2" t="s">
        <v>9</v>
      </c>
      <c r="C522" s="2" t="s">
        <v>133</v>
      </c>
      <c r="D522" s="2" t="s">
        <v>11</v>
      </c>
      <c r="E522" s="39" t="s">
        <v>520</v>
      </c>
      <c r="F522" s="40" t="str">
        <f>DailyCompletionTable[[#This Row],[TABLE_NAME]]&amp;DailyCompletionTable[[#This Row],[PROCESS_DATE]]</f>
        <v>VIPCMTT2021-01-29</v>
      </c>
      <c r="G522" s="41">
        <f>DATE(LEFT(DailyCompletionTable[[#This Row],[PROCESS_DATE]],4),MID(DailyCompletionTable[[#This Row],[PROCESS_DATE]],6,2),MID(DailyCompletionTable[[#This Row],[PROCESS_DATE]],9,2))</f>
        <v>44225</v>
      </c>
      <c r="H52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44224.847650462965</v>
      </c>
    </row>
    <row r="523" spans="1:8" x14ac:dyDescent="0.3">
      <c r="A523" s="2" t="s">
        <v>489</v>
      </c>
      <c r="B523" s="2" t="s">
        <v>9</v>
      </c>
      <c r="C523" s="2" t="s">
        <v>134</v>
      </c>
      <c r="D523" s="2" t="s">
        <v>11</v>
      </c>
      <c r="E523" s="39" t="s">
        <v>406</v>
      </c>
      <c r="F523" s="40" t="str">
        <f>DailyCompletionTable[[#This Row],[TABLE_NAME]]&amp;DailyCompletionTable[[#This Row],[PROCESS_DATE]]</f>
        <v>VIPCNFT2021-01-29</v>
      </c>
      <c r="G523" s="41">
        <f>DATE(LEFT(DailyCompletionTable[[#This Row],[PROCESS_DATE]],4),MID(DailyCompletionTable[[#This Row],[PROCESS_DATE]],6,2),MID(DailyCompletionTable[[#This Row],[PROCESS_DATE]],9,2))</f>
        <v>44225</v>
      </c>
      <c r="H52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44224.954016203701</v>
      </c>
    </row>
    <row r="524" spans="1:8" x14ac:dyDescent="0.3">
      <c r="A524" s="2" t="s">
        <v>489</v>
      </c>
      <c r="B524" s="2" t="s">
        <v>9</v>
      </c>
      <c r="C524" s="2" t="s">
        <v>136</v>
      </c>
      <c r="D524" s="2" t="s">
        <v>11</v>
      </c>
      <c r="E524" s="39" t="s">
        <v>406</v>
      </c>
      <c r="F524" s="40" t="str">
        <f>DailyCompletionTable[[#This Row],[TABLE_NAME]]&amp;DailyCompletionTable[[#This Row],[PROCESS_DATE]]</f>
        <v>VIPCNOT2021-01-29</v>
      </c>
      <c r="G524" s="41">
        <f>DATE(LEFT(DailyCompletionTable[[#This Row],[PROCESS_DATE]],4),MID(DailyCompletionTable[[#This Row],[PROCESS_DATE]],6,2),MID(DailyCompletionTable[[#This Row],[PROCESS_DATE]],9,2))</f>
        <v>44225</v>
      </c>
      <c r="H52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44224.954016203701</v>
      </c>
    </row>
    <row r="525" spans="1:8" x14ac:dyDescent="0.3">
      <c r="A525" s="2" t="s">
        <v>489</v>
      </c>
      <c r="B525" s="2" t="s">
        <v>9</v>
      </c>
      <c r="C525" s="2" t="s">
        <v>137</v>
      </c>
      <c r="D525" s="2" t="s">
        <v>11</v>
      </c>
      <c r="E525" s="39" t="s">
        <v>522</v>
      </c>
      <c r="F525" s="40" t="str">
        <f>DailyCompletionTable[[#This Row],[TABLE_NAME]]&amp;DailyCompletionTable[[#This Row],[PROCESS_DATE]]</f>
        <v>VIPCODT2021-01-29</v>
      </c>
      <c r="G525" s="41">
        <f>DATE(LEFT(DailyCompletionTable[[#This Row],[PROCESS_DATE]],4),MID(DailyCompletionTable[[#This Row],[PROCESS_DATE]],6,2),MID(DailyCompletionTable[[#This Row],[PROCESS_DATE]],9,2))</f>
        <v>44225</v>
      </c>
      <c r="H52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44224.970451388886</v>
      </c>
    </row>
    <row r="526" spans="1:8" x14ac:dyDescent="0.3">
      <c r="A526" s="2" t="s">
        <v>489</v>
      </c>
      <c r="B526" s="2" t="s">
        <v>9</v>
      </c>
      <c r="C526" s="2" t="s">
        <v>139</v>
      </c>
      <c r="D526" s="2" t="s">
        <v>11</v>
      </c>
      <c r="E526" s="39" t="s">
        <v>523</v>
      </c>
      <c r="F526" s="40" t="str">
        <f>DailyCompletionTable[[#This Row],[TABLE_NAME]]&amp;DailyCompletionTable[[#This Row],[PROCESS_DATE]]</f>
        <v>VIPCOFT2021-01-29</v>
      </c>
      <c r="G526" s="41">
        <f>DATE(LEFT(DailyCompletionTable[[#This Row],[PROCESS_DATE]],4),MID(DailyCompletionTable[[#This Row],[PROCESS_DATE]],6,2),MID(DailyCompletionTable[[#This Row],[PROCESS_DATE]],9,2))</f>
        <v>44225</v>
      </c>
      <c r="H52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44224.970682870371</v>
      </c>
    </row>
    <row r="527" spans="1:8" x14ac:dyDescent="0.3">
      <c r="A527" s="2" t="s">
        <v>489</v>
      </c>
      <c r="B527" s="2" t="s">
        <v>9</v>
      </c>
      <c r="C527" s="2" t="s">
        <v>141</v>
      </c>
      <c r="D527" s="2" t="s">
        <v>11</v>
      </c>
      <c r="E527" s="39" t="s">
        <v>524</v>
      </c>
      <c r="F527" s="40" t="str">
        <f>DailyCompletionTable[[#This Row],[TABLE_NAME]]&amp;DailyCompletionTable[[#This Row],[PROCESS_DATE]]</f>
        <v>VIPCOLT2021-01-29</v>
      </c>
      <c r="G527" s="41">
        <f>DATE(LEFT(DailyCompletionTable[[#This Row],[PROCESS_DATE]],4),MID(DailyCompletionTable[[#This Row],[PROCESS_DATE]],6,2),MID(DailyCompletionTable[[#This Row],[PROCESS_DATE]],9,2))</f>
        <v>44225</v>
      </c>
      <c r="H52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44224.95652777778</v>
      </c>
    </row>
    <row r="528" spans="1:8" x14ac:dyDescent="0.3">
      <c r="A528" s="2" t="s">
        <v>489</v>
      </c>
      <c r="B528" s="2" t="s">
        <v>9</v>
      </c>
      <c r="C528" s="2" t="s">
        <v>143</v>
      </c>
      <c r="D528" s="2" t="s">
        <v>11</v>
      </c>
      <c r="E528" s="39" t="s">
        <v>525</v>
      </c>
      <c r="F528" s="40" t="str">
        <f>DailyCompletionTable[[#This Row],[TABLE_NAME]]&amp;DailyCompletionTable[[#This Row],[PROCESS_DATE]]</f>
        <v>VIPCONT2021-01-29</v>
      </c>
      <c r="G528" s="41">
        <f>DATE(LEFT(DailyCompletionTable[[#This Row],[PROCESS_DATE]],4),MID(DailyCompletionTable[[#This Row],[PROCESS_DATE]],6,2),MID(DailyCompletionTable[[#This Row],[PROCESS_DATE]],9,2))</f>
        <v>44225</v>
      </c>
      <c r="H52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44224.84752314815</v>
      </c>
    </row>
    <row r="529" spans="1:8" x14ac:dyDescent="0.3">
      <c r="A529" s="2" t="s">
        <v>489</v>
      </c>
      <c r="B529" s="2" t="s">
        <v>9</v>
      </c>
      <c r="C529" s="2" t="s">
        <v>145</v>
      </c>
      <c r="D529" s="2" t="s">
        <v>11</v>
      </c>
      <c r="E529" s="39" t="s">
        <v>526</v>
      </c>
      <c r="F529" s="40" t="str">
        <f>DailyCompletionTable[[#This Row],[TABLE_NAME]]&amp;DailyCompletionTable[[#This Row],[PROCESS_DATE]]</f>
        <v>VIPCPLT2021-01-29</v>
      </c>
      <c r="G529" s="41">
        <f>DATE(LEFT(DailyCompletionTable[[#This Row],[PROCESS_DATE]],4),MID(DailyCompletionTable[[#This Row],[PROCESS_DATE]],6,2),MID(DailyCompletionTable[[#This Row],[PROCESS_DATE]],9,2))</f>
        <v>44225</v>
      </c>
      <c r="H52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44224.970729166664</v>
      </c>
    </row>
    <row r="530" spans="1:8" x14ac:dyDescent="0.3">
      <c r="A530" s="2" t="s">
        <v>489</v>
      </c>
      <c r="B530" s="2" t="s">
        <v>9</v>
      </c>
      <c r="C530" s="2" t="s">
        <v>147</v>
      </c>
      <c r="D530" s="2" t="s">
        <v>11</v>
      </c>
      <c r="E530" s="39" t="s">
        <v>412</v>
      </c>
      <c r="F530" s="40" t="str">
        <f>DailyCompletionTable[[#This Row],[TABLE_NAME]]&amp;DailyCompletionTable[[#This Row],[PROCESS_DATE]]</f>
        <v>VIPCRRT2021-01-29</v>
      </c>
      <c r="G530" s="41">
        <f>DATE(LEFT(DailyCompletionTable[[#This Row],[PROCESS_DATE]],4),MID(DailyCompletionTable[[#This Row],[PROCESS_DATE]],6,2),MID(DailyCompletionTable[[#This Row],[PROCESS_DATE]],9,2))</f>
        <v>44225</v>
      </c>
      <c r="H53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44225.089895833335</v>
      </c>
    </row>
    <row r="531" spans="1:8" x14ac:dyDescent="0.3">
      <c r="A531" s="2" t="s">
        <v>489</v>
      </c>
      <c r="B531" s="2" t="s">
        <v>9</v>
      </c>
      <c r="C531" s="2" t="s">
        <v>151</v>
      </c>
      <c r="D531" s="2" t="s">
        <v>11</v>
      </c>
      <c r="E531" s="39" t="s">
        <v>527</v>
      </c>
      <c r="F531" s="40" t="str">
        <f>DailyCompletionTable[[#This Row],[TABLE_NAME]]&amp;DailyCompletionTable[[#This Row],[PROCESS_DATE]]</f>
        <v>VIPCSLT2021-01-29</v>
      </c>
      <c r="G531" s="41">
        <f>DATE(LEFT(DailyCompletionTable[[#This Row],[PROCESS_DATE]],4),MID(DailyCompletionTable[[#This Row],[PROCESS_DATE]],6,2),MID(DailyCompletionTable[[#This Row],[PROCESS_DATE]],9,2))</f>
        <v>44225</v>
      </c>
      <c r="H53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44224.847129629627</v>
      </c>
    </row>
    <row r="532" spans="1:8" x14ac:dyDescent="0.3">
      <c r="A532" s="2" t="s">
        <v>489</v>
      </c>
      <c r="B532" s="2" t="s">
        <v>9</v>
      </c>
      <c r="C532" s="2" t="s">
        <v>153</v>
      </c>
      <c r="D532" s="2" t="s">
        <v>11</v>
      </c>
      <c r="E532" s="39" t="s">
        <v>528</v>
      </c>
      <c r="F532" s="40" t="str">
        <f>DailyCompletionTable[[#This Row],[TABLE_NAME]]&amp;DailyCompletionTable[[#This Row],[PROCESS_DATE]]</f>
        <v>VIPCSPT2021-01-29</v>
      </c>
      <c r="G532" s="41">
        <f>DATE(LEFT(DailyCompletionTable[[#This Row],[PROCESS_DATE]],4),MID(DailyCompletionTable[[#This Row],[PROCESS_DATE]],6,2),MID(DailyCompletionTable[[#This Row],[PROCESS_DATE]],9,2))</f>
        <v>44225</v>
      </c>
      <c r="H53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44224.847395833334</v>
      </c>
    </row>
    <row r="533" spans="1:8" x14ac:dyDescent="0.3">
      <c r="A533" s="2" t="s">
        <v>489</v>
      </c>
      <c r="B533" s="2" t="s">
        <v>9</v>
      </c>
      <c r="C533" s="2" t="s">
        <v>154</v>
      </c>
      <c r="D533" s="2" t="s">
        <v>11</v>
      </c>
      <c r="E533" s="39" t="s">
        <v>529</v>
      </c>
      <c r="F533" s="40" t="str">
        <f>DailyCompletionTable[[#This Row],[TABLE_NAME]]&amp;DailyCompletionTable[[#This Row],[PROCESS_DATE]]</f>
        <v>VIPCSST2021-01-29</v>
      </c>
      <c r="G533" s="41">
        <f>DATE(LEFT(DailyCompletionTable[[#This Row],[PROCESS_DATE]],4),MID(DailyCompletionTable[[#This Row],[PROCESS_DATE]],6,2),MID(DailyCompletionTable[[#This Row],[PROCESS_DATE]],9,2))</f>
        <v>44225</v>
      </c>
      <c r="H53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44224.962187500001</v>
      </c>
    </row>
    <row r="534" spans="1:8" x14ac:dyDescent="0.3">
      <c r="A534" s="2" t="s">
        <v>489</v>
      </c>
      <c r="B534" s="2" t="s">
        <v>9</v>
      </c>
      <c r="C534" s="2" t="s">
        <v>156</v>
      </c>
      <c r="D534" s="2" t="s">
        <v>11</v>
      </c>
      <c r="E534" s="39" t="s">
        <v>530</v>
      </c>
      <c r="F534" s="40" t="str">
        <f>DailyCompletionTable[[#This Row],[TABLE_NAME]]&amp;DailyCompletionTable[[#This Row],[PROCESS_DATE]]</f>
        <v>VIPCTDT2021-01-29</v>
      </c>
      <c r="G534" s="41">
        <f>DATE(LEFT(DailyCompletionTable[[#This Row],[PROCESS_DATE]],4),MID(DailyCompletionTable[[#This Row],[PROCESS_DATE]],6,2),MID(DailyCompletionTable[[#This Row],[PROCESS_DATE]],9,2))</f>
        <v>44225</v>
      </c>
      <c r="H53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44224.847118055557</v>
      </c>
    </row>
    <row r="535" spans="1:8" x14ac:dyDescent="0.3">
      <c r="A535" s="2" t="s">
        <v>489</v>
      </c>
      <c r="B535" s="2" t="s">
        <v>9</v>
      </c>
      <c r="C535" s="2" t="s">
        <v>158</v>
      </c>
      <c r="D535" s="2" t="s">
        <v>11</v>
      </c>
      <c r="E535" s="39" t="s">
        <v>159</v>
      </c>
      <c r="F535" s="40" t="str">
        <f>DailyCompletionTable[[#This Row],[TABLE_NAME]]&amp;DailyCompletionTable[[#This Row],[PROCESS_DATE]]</f>
        <v>VIPCTMT2021-01-29</v>
      </c>
      <c r="G535" s="41">
        <f>DATE(LEFT(DailyCompletionTable[[#This Row],[PROCESS_DATE]],4),MID(DailyCompletionTable[[#This Row],[PROCESS_DATE]],6,2),MID(DailyCompletionTable[[#This Row],[PROCESS_DATE]],9,2))</f>
        <v>44225</v>
      </c>
      <c r="H53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44224.873287037037</v>
      </c>
    </row>
    <row r="536" spans="1:8" x14ac:dyDescent="0.3">
      <c r="A536" s="2" t="s">
        <v>489</v>
      </c>
      <c r="B536" s="2" t="s">
        <v>9</v>
      </c>
      <c r="C536" s="2" t="s">
        <v>160</v>
      </c>
      <c r="D536" s="2" t="s">
        <v>11</v>
      </c>
      <c r="E536" s="39" t="s">
        <v>531</v>
      </c>
      <c r="F536" s="40" t="str">
        <f>DailyCompletionTable[[#This Row],[TABLE_NAME]]&amp;DailyCompletionTable[[#This Row],[PROCESS_DATE]]</f>
        <v>VIPCTZT2021-01-29</v>
      </c>
      <c r="G536" s="41">
        <f>DATE(LEFT(DailyCompletionTable[[#This Row],[PROCESS_DATE]],4),MID(DailyCompletionTable[[#This Row],[PROCESS_DATE]],6,2),MID(DailyCompletionTable[[#This Row],[PROCESS_DATE]],9,2))</f>
        <v>44225</v>
      </c>
      <c r="H53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44224.847870370373</v>
      </c>
    </row>
    <row r="537" spans="1:8" x14ac:dyDescent="0.3">
      <c r="A537" s="2" t="s">
        <v>489</v>
      </c>
      <c r="B537" s="2" t="s">
        <v>9</v>
      </c>
      <c r="C537" s="2" t="s">
        <v>162</v>
      </c>
      <c r="D537" s="2" t="s">
        <v>11</v>
      </c>
      <c r="E537" s="39" t="s">
        <v>532</v>
      </c>
      <c r="F537" s="40" t="str">
        <f>DailyCompletionTable[[#This Row],[TABLE_NAME]]&amp;DailyCompletionTable[[#This Row],[PROCESS_DATE]]</f>
        <v>VIPCUCT2021-01-29</v>
      </c>
      <c r="G537" s="41">
        <f>DATE(LEFT(DailyCompletionTable[[#This Row],[PROCESS_DATE]],4),MID(DailyCompletionTable[[#This Row],[PROCESS_DATE]],6,2),MID(DailyCompletionTable[[#This Row],[PROCESS_DATE]],9,2))</f>
        <v>44225</v>
      </c>
      <c r="H53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44224.847604166665</v>
      </c>
    </row>
    <row r="538" spans="1:8" x14ac:dyDescent="0.3">
      <c r="A538" s="2" t="s">
        <v>489</v>
      </c>
      <c r="B538" s="2" t="s">
        <v>9</v>
      </c>
      <c r="C538" s="2" t="s">
        <v>163</v>
      </c>
      <c r="D538" s="2" t="s">
        <v>11</v>
      </c>
      <c r="E538" s="39" t="s">
        <v>532</v>
      </c>
      <c r="F538" s="40" t="str">
        <f>DailyCompletionTable[[#This Row],[TABLE_NAME]]&amp;DailyCompletionTable[[#This Row],[PROCESS_DATE]]</f>
        <v>VIPCUST2021-01-29</v>
      </c>
      <c r="G538" s="41">
        <f>DATE(LEFT(DailyCompletionTable[[#This Row],[PROCESS_DATE]],4),MID(DailyCompletionTable[[#This Row],[PROCESS_DATE]],6,2),MID(DailyCompletionTable[[#This Row],[PROCESS_DATE]],9,2))</f>
        <v>44225</v>
      </c>
      <c r="H53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44224.847604166665</v>
      </c>
    </row>
    <row r="539" spans="1:8" x14ac:dyDescent="0.3">
      <c r="A539" s="2" t="s">
        <v>489</v>
      </c>
      <c r="B539" s="2" t="s">
        <v>9</v>
      </c>
      <c r="C539" s="2" t="s">
        <v>164</v>
      </c>
      <c r="D539" s="2" t="s">
        <v>11</v>
      </c>
      <c r="E539" s="39" t="s">
        <v>533</v>
      </c>
      <c r="F539" s="40" t="str">
        <f>DailyCompletionTable[[#This Row],[TABLE_NAME]]&amp;DailyCompletionTable[[#This Row],[PROCESS_DATE]]</f>
        <v>VIPCWST2021-01-29</v>
      </c>
      <c r="G539" s="41">
        <f>DATE(LEFT(DailyCompletionTable[[#This Row],[PROCESS_DATE]],4),MID(DailyCompletionTable[[#This Row],[PROCESS_DATE]],6,2),MID(DailyCompletionTable[[#This Row],[PROCESS_DATE]],9,2))</f>
        <v>44225</v>
      </c>
      <c r="H53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44224.972719907404</v>
      </c>
    </row>
    <row r="540" spans="1:8" x14ac:dyDescent="0.3">
      <c r="A540" s="2" t="s">
        <v>489</v>
      </c>
      <c r="B540" s="2" t="s">
        <v>9</v>
      </c>
      <c r="C540" s="2" t="s">
        <v>166</v>
      </c>
      <c r="D540" s="2" t="s">
        <v>70</v>
      </c>
      <c r="E540" s="39" t="s">
        <v>534</v>
      </c>
      <c r="F540" s="40" t="str">
        <f>DailyCompletionTable[[#This Row],[TABLE_NAME]]&amp;DailyCompletionTable[[#This Row],[PROCESS_DATE]]</f>
        <v>VIPDART2021-01-22</v>
      </c>
      <c r="G540" s="41">
        <f>DATE(LEFT(DailyCompletionTable[[#This Row],[PROCESS_DATE]],4),MID(DailyCompletionTable[[#This Row],[PROCESS_DATE]],6,2),MID(DailyCompletionTable[[#This Row],[PROCESS_DATE]],9,2))</f>
        <v>44218</v>
      </c>
      <c r="H54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44218.227303240739</v>
      </c>
    </row>
    <row r="541" spans="1:8" x14ac:dyDescent="0.3">
      <c r="A541" s="2" t="s">
        <v>489</v>
      </c>
      <c r="B541" s="2" t="s">
        <v>9</v>
      </c>
      <c r="C541" s="2" t="s">
        <v>168</v>
      </c>
      <c r="D541" s="2" t="s">
        <v>70</v>
      </c>
      <c r="E541" s="39" t="s">
        <v>535</v>
      </c>
      <c r="F541" s="40" t="str">
        <f>DailyCompletionTable[[#This Row],[TABLE_NAME]]&amp;DailyCompletionTable[[#This Row],[PROCESS_DATE]]</f>
        <v>VIPDBDT2021-01-22</v>
      </c>
      <c r="G541" s="41">
        <f>DATE(LEFT(DailyCompletionTable[[#This Row],[PROCESS_DATE]],4),MID(DailyCompletionTable[[#This Row],[PROCESS_DATE]],6,2),MID(DailyCompletionTable[[#This Row],[PROCESS_DATE]],9,2))</f>
        <v>44218</v>
      </c>
      <c r="H54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44218.227349537039</v>
      </c>
    </row>
    <row r="542" spans="1:8" x14ac:dyDescent="0.3">
      <c r="A542" s="2" t="s">
        <v>489</v>
      </c>
      <c r="B542" s="2" t="s">
        <v>9</v>
      </c>
      <c r="C542" s="2" t="s">
        <v>170</v>
      </c>
      <c r="D542" s="2" t="s">
        <v>70</v>
      </c>
      <c r="E542" s="39" t="s">
        <v>534</v>
      </c>
      <c r="F542" s="40" t="str">
        <f>DailyCompletionTable[[#This Row],[TABLE_NAME]]&amp;DailyCompletionTable[[#This Row],[PROCESS_DATE]]</f>
        <v>VIPDCAT2021-01-22</v>
      </c>
      <c r="G542" s="41">
        <f>DATE(LEFT(DailyCompletionTable[[#This Row],[PROCESS_DATE]],4),MID(DailyCompletionTable[[#This Row],[PROCESS_DATE]],6,2),MID(DailyCompletionTable[[#This Row],[PROCESS_DATE]],9,2))</f>
        <v>44218</v>
      </c>
      <c r="H54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44218.227303240739</v>
      </c>
    </row>
    <row r="543" spans="1:8" x14ac:dyDescent="0.3">
      <c r="A543" s="2" t="s">
        <v>489</v>
      </c>
      <c r="B543" s="2" t="s">
        <v>9</v>
      </c>
      <c r="C543" s="2" t="s">
        <v>172</v>
      </c>
      <c r="D543" s="2" t="s">
        <v>70</v>
      </c>
      <c r="E543" s="39" t="s">
        <v>536</v>
      </c>
      <c r="F543" s="40" t="str">
        <f>DailyCompletionTable[[#This Row],[TABLE_NAME]]&amp;DailyCompletionTable[[#This Row],[PROCESS_DATE]]</f>
        <v>VIPDCET2021-01-22</v>
      </c>
      <c r="G543" s="41">
        <f>DATE(LEFT(DailyCompletionTable[[#This Row],[PROCESS_DATE]],4),MID(DailyCompletionTable[[#This Row],[PROCESS_DATE]],6,2),MID(DailyCompletionTable[[#This Row],[PROCESS_DATE]],9,2))</f>
        <v>44218</v>
      </c>
      <c r="H54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44218.227337962962</v>
      </c>
    </row>
    <row r="544" spans="1:8" x14ac:dyDescent="0.3">
      <c r="A544" s="2" t="s">
        <v>489</v>
      </c>
      <c r="B544" s="2" t="s">
        <v>9</v>
      </c>
      <c r="C544" s="2" t="s">
        <v>173</v>
      </c>
      <c r="D544" s="2" t="s">
        <v>11</v>
      </c>
      <c r="E544" s="39" t="s">
        <v>537</v>
      </c>
      <c r="F544" s="40" t="str">
        <f>DailyCompletionTable[[#This Row],[TABLE_NAME]]&amp;DailyCompletionTable[[#This Row],[PROCESS_DATE]]</f>
        <v>VIPDCUT2021-01-29</v>
      </c>
      <c r="G544" s="41">
        <f>DATE(LEFT(DailyCompletionTable[[#This Row],[PROCESS_DATE]],4),MID(DailyCompletionTable[[#This Row],[PROCESS_DATE]],6,2),MID(DailyCompletionTable[[#This Row],[PROCESS_DATE]],9,2))</f>
        <v>44225</v>
      </c>
      <c r="H54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44224.848067129627</v>
      </c>
    </row>
    <row r="545" spans="1:8" x14ac:dyDescent="0.3">
      <c r="A545" s="2" t="s">
        <v>489</v>
      </c>
      <c r="B545" s="2" t="s">
        <v>9</v>
      </c>
      <c r="C545" s="2" t="s">
        <v>175</v>
      </c>
      <c r="D545" s="2" t="s">
        <v>70</v>
      </c>
      <c r="E545" s="39" t="s">
        <v>538</v>
      </c>
      <c r="F545" s="40" t="str">
        <f>DailyCompletionTable[[#This Row],[TABLE_NAME]]&amp;DailyCompletionTable[[#This Row],[PROCESS_DATE]]</f>
        <v>VIPDEUT2021-01-22</v>
      </c>
      <c r="G545" s="41">
        <f>DATE(LEFT(DailyCompletionTable[[#This Row],[PROCESS_DATE]],4),MID(DailyCompletionTable[[#This Row],[PROCESS_DATE]],6,2),MID(DailyCompletionTable[[#This Row],[PROCESS_DATE]],9,2))</f>
        <v>44218</v>
      </c>
      <c r="H54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44218.227326388886</v>
      </c>
    </row>
    <row r="546" spans="1:8" x14ac:dyDescent="0.3">
      <c r="A546" s="2" t="s">
        <v>489</v>
      </c>
      <c r="B546" s="2" t="s">
        <v>9</v>
      </c>
      <c r="C546" s="2" t="s">
        <v>177</v>
      </c>
      <c r="D546" s="2" t="s">
        <v>70</v>
      </c>
      <c r="E546" s="39" t="s">
        <v>539</v>
      </c>
      <c r="F546" s="40" t="str">
        <f>DailyCompletionTable[[#This Row],[TABLE_NAME]]&amp;DailyCompletionTable[[#This Row],[PROCESS_DATE]]</f>
        <v>VIPDLMT2021-01-22</v>
      </c>
      <c r="G546" s="41">
        <f>DATE(LEFT(DailyCompletionTable[[#This Row],[PROCESS_DATE]],4),MID(DailyCompletionTable[[#This Row],[PROCESS_DATE]],6,2),MID(DailyCompletionTable[[#This Row],[PROCESS_DATE]],9,2))</f>
        <v>44218</v>
      </c>
      <c r="H54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44218.227361111109</v>
      </c>
    </row>
    <row r="547" spans="1:8" x14ac:dyDescent="0.3">
      <c r="A547" s="2" t="s">
        <v>489</v>
      </c>
      <c r="B547" s="2" t="s">
        <v>9</v>
      </c>
      <c r="C547" s="2" t="s">
        <v>179</v>
      </c>
      <c r="D547" s="2" t="s">
        <v>11</v>
      </c>
      <c r="E547" s="39" t="s">
        <v>180</v>
      </c>
      <c r="F547" s="40" t="str">
        <f>DailyCompletionTable[[#This Row],[TABLE_NAME]]&amp;DailyCompletionTable[[#This Row],[PROCESS_DATE]]</f>
        <v>VIPDLPT2021-01-29</v>
      </c>
      <c r="G547" s="41">
        <f>DATE(LEFT(DailyCompletionTable[[#This Row],[PROCESS_DATE]],4),MID(DailyCompletionTable[[#This Row],[PROCESS_DATE]],6,2),MID(DailyCompletionTable[[#This Row],[PROCESS_DATE]],9,2))</f>
        <v>44225</v>
      </c>
      <c r="H54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44225.071238425924</v>
      </c>
    </row>
    <row r="548" spans="1:8" x14ac:dyDescent="0.3">
      <c r="A548" s="2" t="s">
        <v>489</v>
      </c>
      <c r="B548" s="2" t="s">
        <v>9</v>
      </c>
      <c r="C548" s="2" t="s">
        <v>181</v>
      </c>
      <c r="D548" s="2" t="s">
        <v>11</v>
      </c>
      <c r="E548" s="39" t="s">
        <v>68</v>
      </c>
      <c r="F548" s="40" t="str">
        <f>DailyCompletionTable[[#This Row],[TABLE_NAME]]&amp;DailyCompletionTable[[#This Row],[PROCESS_DATE]]</f>
        <v>VIPDLQT2021-01-29</v>
      </c>
      <c r="G548" s="41">
        <f>DATE(LEFT(DailyCompletionTable[[#This Row],[PROCESS_DATE]],4),MID(DailyCompletionTable[[#This Row],[PROCESS_DATE]],6,2),MID(DailyCompletionTable[[#This Row],[PROCESS_DATE]],9,2))</f>
        <v>44225</v>
      </c>
      <c r="H54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549" spans="1:8" x14ac:dyDescent="0.3">
      <c r="A549" s="2" t="s">
        <v>489</v>
      </c>
      <c r="B549" s="2" t="s">
        <v>9</v>
      </c>
      <c r="C549" s="2" t="s">
        <v>182</v>
      </c>
      <c r="D549" s="2" t="s">
        <v>70</v>
      </c>
      <c r="E549" s="39" t="s">
        <v>540</v>
      </c>
      <c r="F549" s="40" t="str">
        <f>DailyCompletionTable[[#This Row],[TABLE_NAME]]&amp;DailyCompletionTable[[#This Row],[PROCESS_DATE]]</f>
        <v>VIPDLST2021-01-22</v>
      </c>
      <c r="G549" s="41">
        <f>DATE(LEFT(DailyCompletionTable[[#This Row],[PROCESS_DATE]],4),MID(DailyCompletionTable[[#This Row],[PROCESS_DATE]],6,2),MID(DailyCompletionTable[[#This Row],[PROCESS_DATE]],9,2))</f>
        <v>44218</v>
      </c>
      <c r="H54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44218.233055555553</v>
      </c>
    </row>
    <row r="550" spans="1:8" x14ac:dyDescent="0.3">
      <c r="A550" s="2" t="s">
        <v>489</v>
      </c>
      <c r="B550" s="2" t="s">
        <v>9</v>
      </c>
      <c r="C550" s="2" t="s">
        <v>184</v>
      </c>
      <c r="D550" s="2" t="s">
        <v>70</v>
      </c>
      <c r="E550" s="39" t="s">
        <v>538</v>
      </c>
      <c r="F550" s="40" t="str">
        <f>DailyCompletionTable[[#This Row],[TABLE_NAME]]&amp;DailyCompletionTable[[#This Row],[PROCESS_DATE]]</f>
        <v>VIPDLTT2021-01-22</v>
      </c>
      <c r="G550" s="41">
        <f>DATE(LEFT(DailyCompletionTable[[#This Row],[PROCESS_DATE]],4),MID(DailyCompletionTable[[#This Row],[PROCESS_DATE]],6,2),MID(DailyCompletionTable[[#This Row],[PROCESS_DATE]],9,2))</f>
        <v>44218</v>
      </c>
      <c r="H55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44218.227326388886</v>
      </c>
    </row>
    <row r="551" spans="1:8" x14ac:dyDescent="0.3">
      <c r="A551" s="2" t="s">
        <v>489</v>
      </c>
      <c r="B551" s="2" t="s">
        <v>9</v>
      </c>
      <c r="C551" s="2" t="s">
        <v>186</v>
      </c>
      <c r="D551" s="2" t="s">
        <v>70</v>
      </c>
      <c r="E551" s="39" t="s">
        <v>536</v>
      </c>
      <c r="F551" s="40" t="str">
        <f>DailyCompletionTable[[#This Row],[TABLE_NAME]]&amp;DailyCompletionTable[[#This Row],[PROCESS_DATE]]</f>
        <v>VIPDMAT2021-01-22</v>
      </c>
      <c r="G551" s="41">
        <f>DATE(LEFT(DailyCompletionTable[[#This Row],[PROCESS_DATE]],4),MID(DailyCompletionTable[[#This Row],[PROCESS_DATE]],6,2),MID(DailyCompletionTable[[#This Row],[PROCESS_DATE]],9,2))</f>
        <v>44218</v>
      </c>
      <c r="H55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44218.227337962962</v>
      </c>
    </row>
    <row r="552" spans="1:8" x14ac:dyDescent="0.3">
      <c r="A552" s="2" t="s">
        <v>489</v>
      </c>
      <c r="B552" s="2" t="s">
        <v>9</v>
      </c>
      <c r="C552" s="2" t="s">
        <v>188</v>
      </c>
      <c r="D552" s="2" t="s">
        <v>11</v>
      </c>
      <c r="E552" s="39" t="s">
        <v>541</v>
      </c>
      <c r="F552" s="40" t="str">
        <f>DailyCompletionTable[[#This Row],[TABLE_NAME]]&amp;DailyCompletionTable[[#This Row],[PROCESS_DATE]]</f>
        <v>VIPDPBT2021-01-29</v>
      </c>
      <c r="G552" s="41">
        <f>DATE(LEFT(DailyCompletionTable[[#This Row],[PROCESS_DATE]],4),MID(DailyCompletionTable[[#This Row],[PROCESS_DATE]],6,2),MID(DailyCompletionTable[[#This Row],[PROCESS_DATE]],9,2))</f>
        <v>44225</v>
      </c>
      <c r="H55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44224.847916666666</v>
      </c>
    </row>
    <row r="553" spans="1:8" x14ac:dyDescent="0.3">
      <c r="A553" s="2" t="s">
        <v>489</v>
      </c>
      <c r="B553" s="2" t="s">
        <v>9</v>
      </c>
      <c r="C553" s="2" t="s">
        <v>190</v>
      </c>
      <c r="D553" s="2" t="s">
        <v>11</v>
      </c>
      <c r="E553" s="39" t="s">
        <v>542</v>
      </c>
      <c r="F553" s="40" t="str">
        <f>DailyCompletionTable[[#This Row],[TABLE_NAME]]&amp;DailyCompletionTable[[#This Row],[PROCESS_DATE]]</f>
        <v>VIPDPST2021-01-29</v>
      </c>
      <c r="G553" s="41">
        <f>DATE(LEFT(DailyCompletionTable[[#This Row],[PROCESS_DATE]],4),MID(DailyCompletionTable[[#This Row],[PROCESS_DATE]],6,2),MID(DailyCompletionTable[[#This Row],[PROCESS_DATE]],9,2))</f>
        <v>44225</v>
      </c>
      <c r="H55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44224.847094907411</v>
      </c>
    </row>
    <row r="554" spans="1:8" x14ac:dyDescent="0.3">
      <c r="A554" s="2" t="s">
        <v>489</v>
      </c>
      <c r="B554" s="2" t="s">
        <v>9</v>
      </c>
      <c r="C554" s="2" t="s">
        <v>192</v>
      </c>
      <c r="D554" s="2" t="s">
        <v>11</v>
      </c>
      <c r="E554" s="39" t="s">
        <v>543</v>
      </c>
      <c r="F554" s="40" t="str">
        <f>DailyCompletionTable[[#This Row],[TABLE_NAME]]&amp;DailyCompletionTable[[#This Row],[PROCESS_DATE]]</f>
        <v>VIPDQAT2021-01-29</v>
      </c>
      <c r="G554" s="41">
        <f>DATE(LEFT(DailyCompletionTable[[#This Row],[PROCESS_DATE]],4),MID(DailyCompletionTable[[#This Row],[PROCESS_DATE]],6,2),MID(DailyCompletionTable[[#This Row],[PROCESS_DATE]],9,2))</f>
        <v>44225</v>
      </c>
      <c r="H55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44224.848032407404</v>
      </c>
    </row>
    <row r="555" spans="1:8" x14ac:dyDescent="0.3">
      <c r="A555" s="2" t="s">
        <v>489</v>
      </c>
      <c r="B555" s="2" t="s">
        <v>9</v>
      </c>
      <c r="C555" s="2" t="s">
        <v>194</v>
      </c>
      <c r="D555" s="2" t="s">
        <v>11</v>
      </c>
      <c r="E555" s="39" t="s">
        <v>68</v>
      </c>
      <c r="F555" s="40" t="str">
        <f>DailyCompletionTable[[#This Row],[TABLE_NAME]]&amp;DailyCompletionTable[[#This Row],[PROCESS_DATE]]</f>
        <v>VIPDQVT2021-01-29</v>
      </c>
      <c r="G555" s="41">
        <f>DATE(LEFT(DailyCompletionTable[[#This Row],[PROCESS_DATE]],4),MID(DailyCompletionTable[[#This Row],[PROCESS_DATE]],6,2),MID(DailyCompletionTable[[#This Row],[PROCESS_DATE]],9,2))</f>
        <v>44225</v>
      </c>
      <c r="H55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44225.071226851855</v>
      </c>
    </row>
    <row r="556" spans="1:8" x14ac:dyDescent="0.3">
      <c r="A556" s="2" t="s">
        <v>489</v>
      </c>
      <c r="B556" s="2" t="s">
        <v>9</v>
      </c>
      <c r="C556" s="2" t="s">
        <v>195</v>
      </c>
      <c r="D556" s="2" t="s">
        <v>11</v>
      </c>
      <c r="E556" s="39" t="s">
        <v>501</v>
      </c>
      <c r="F556" s="40" t="str">
        <f>DailyCompletionTable[[#This Row],[TABLE_NAME]]&amp;DailyCompletionTable[[#This Row],[PROCESS_DATE]]</f>
        <v>VIPDSCT2021-01-29</v>
      </c>
      <c r="G556" s="41">
        <f>DATE(LEFT(DailyCompletionTable[[#This Row],[PROCESS_DATE]],4),MID(DailyCompletionTable[[#This Row],[PROCESS_DATE]],6,2),MID(DailyCompletionTable[[#This Row],[PROCESS_DATE]],9,2))</f>
        <v>44225</v>
      </c>
      <c r="H55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44224.847905092596</v>
      </c>
    </row>
    <row r="557" spans="1:8" x14ac:dyDescent="0.3">
      <c r="A557" s="2" t="s">
        <v>489</v>
      </c>
      <c r="B557" s="2" t="s">
        <v>9</v>
      </c>
      <c r="C557" s="2" t="s">
        <v>197</v>
      </c>
      <c r="D557" s="2" t="s">
        <v>11</v>
      </c>
      <c r="E557" s="39" t="s">
        <v>544</v>
      </c>
      <c r="F557" s="40" t="str">
        <f>DailyCompletionTable[[#This Row],[TABLE_NAME]]&amp;DailyCompletionTable[[#This Row],[PROCESS_DATE]]</f>
        <v>VIPEAIT2021-01-29</v>
      </c>
      <c r="G557" s="41">
        <f>DATE(LEFT(DailyCompletionTable[[#This Row],[PROCESS_DATE]],4),MID(DailyCompletionTable[[#This Row],[PROCESS_DATE]],6,2),MID(DailyCompletionTable[[#This Row],[PROCESS_DATE]],9,2))</f>
        <v>44225</v>
      </c>
      <c r="H55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44225.089872685188</v>
      </c>
    </row>
    <row r="558" spans="1:8" x14ac:dyDescent="0.3">
      <c r="A558" s="2" t="s">
        <v>489</v>
      </c>
      <c r="B558" s="2" t="s">
        <v>9</v>
      </c>
      <c r="C558" s="2" t="s">
        <v>199</v>
      </c>
      <c r="D558" s="2" t="s">
        <v>11</v>
      </c>
      <c r="E558" s="39" t="s">
        <v>532</v>
      </c>
      <c r="F558" s="40" t="str">
        <f>DailyCompletionTable[[#This Row],[TABLE_NAME]]&amp;DailyCompletionTable[[#This Row],[PROCESS_DATE]]</f>
        <v>VIPECST2021-01-29</v>
      </c>
      <c r="G558" s="41">
        <f>DATE(LEFT(DailyCompletionTable[[#This Row],[PROCESS_DATE]],4),MID(DailyCompletionTable[[#This Row],[PROCESS_DATE]],6,2),MID(DailyCompletionTable[[#This Row],[PROCESS_DATE]],9,2))</f>
        <v>44225</v>
      </c>
      <c r="H55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44224.847604166665</v>
      </c>
    </row>
    <row r="559" spans="1:8" x14ac:dyDescent="0.3">
      <c r="A559" s="2" t="s">
        <v>489</v>
      </c>
      <c r="B559" s="2" t="s">
        <v>9</v>
      </c>
      <c r="C559" s="2" t="s">
        <v>200</v>
      </c>
      <c r="D559" s="2" t="s">
        <v>11</v>
      </c>
      <c r="E559" s="39" t="s">
        <v>545</v>
      </c>
      <c r="F559" s="40" t="str">
        <f>DailyCompletionTable[[#This Row],[TABLE_NAME]]&amp;DailyCompletionTable[[#This Row],[PROCESS_DATE]]</f>
        <v>VIPEPDT2021-01-29</v>
      </c>
      <c r="G559" s="41">
        <f>DATE(LEFT(DailyCompletionTable[[#This Row],[PROCESS_DATE]],4),MID(DailyCompletionTable[[#This Row],[PROCESS_DATE]],6,2),MID(DailyCompletionTable[[#This Row],[PROCESS_DATE]],9,2))</f>
        <v>44225</v>
      </c>
      <c r="H55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44224.848078703704</v>
      </c>
    </row>
    <row r="560" spans="1:8" x14ac:dyDescent="0.3">
      <c r="A560" s="2" t="s">
        <v>489</v>
      </c>
      <c r="B560" s="2" t="s">
        <v>9</v>
      </c>
      <c r="C560" s="2" t="s">
        <v>202</v>
      </c>
      <c r="D560" s="2" t="s">
        <v>11</v>
      </c>
      <c r="E560" s="39" t="s">
        <v>546</v>
      </c>
      <c r="F560" s="40" t="str">
        <f>DailyCompletionTable[[#This Row],[TABLE_NAME]]&amp;DailyCompletionTable[[#This Row],[PROCESS_DATE]]</f>
        <v>VIPEQCT2021-01-29</v>
      </c>
      <c r="G560" s="41">
        <f>DATE(LEFT(DailyCompletionTable[[#This Row],[PROCESS_DATE]],4),MID(DailyCompletionTable[[#This Row],[PROCESS_DATE]],6,2),MID(DailyCompletionTable[[#This Row],[PROCESS_DATE]],9,2))</f>
        <v>44225</v>
      </c>
      <c r="H56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44224.851597222223</v>
      </c>
    </row>
    <row r="561" spans="1:8" x14ac:dyDescent="0.3">
      <c r="A561" s="2" t="s">
        <v>489</v>
      </c>
      <c r="B561" s="2" t="s">
        <v>9</v>
      </c>
      <c r="C561" s="2" t="s">
        <v>204</v>
      </c>
      <c r="D561" s="2" t="s">
        <v>11</v>
      </c>
      <c r="E561" s="39" t="s">
        <v>546</v>
      </c>
      <c r="F561" s="40" t="str">
        <f>DailyCompletionTable[[#This Row],[TABLE_NAME]]&amp;DailyCompletionTable[[#This Row],[PROCESS_DATE]]</f>
        <v>VIPEQET2021-01-29</v>
      </c>
      <c r="G561" s="41">
        <f>DATE(LEFT(DailyCompletionTable[[#This Row],[PROCESS_DATE]],4),MID(DailyCompletionTable[[#This Row],[PROCESS_DATE]],6,2),MID(DailyCompletionTable[[#This Row],[PROCESS_DATE]],9,2))</f>
        <v>44225</v>
      </c>
      <c r="H56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44224.851597222223</v>
      </c>
    </row>
    <row r="562" spans="1:8" x14ac:dyDescent="0.3">
      <c r="A562" s="2" t="s">
        <v>489</v>
      </c>
      <c r="B562" s="2" t="s">
        <v>9</v>
      </c>
      <c r="C562" s="2" t="s">
        <v>205</v>
      </c>
      <c r="D562" s="2" t="s">
        <v>11</v>
      </c>
      <c r="E562" s="39" t="s">
        <v>546</v>
      </c>
      <c r="F562" s="40" t="str">
        <f>DailyCompletionTable[[#This Row],[TABLE_NAME]]&amp;DailyCompletionTable[[#This Row],[PROCESS_DATE]]</f>
        <v>VIPEQPT2021-01-29</v>
      </c>
      <c r="G562" s="41">
        <f>DATE(LEFT(DailyCompletionTable[[#This Row],[PROCESS_DATE]],4),MID(DailyCompletionTable[[#This Row],[PROCESS_DATE]],6,2),MID(DailyCompletionTable[[#This Row],[PROCESS_DATE]],9,2))</f>
        <v>44225</v>
      </c>
      <c r="H56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44224.851597222223</v>
      </c>
    </row>
    <row r="563" spans="1:8" x14ac:dyDescent="0.3">
      <c r="A563" s="2" t="s">
        <v>489</v>
      </c>
      <c r="B563" s="2" t="s">
        <v>9</v>
      </c>
      <c r="C563" s="2" t="s">
        <v>206</v>
      </c>
      <c r="D563" s="2" t="s">
        <v>11</v>
      </c>
      <c r="E563" s="39" t="s">
        <v>546</v>
      </c>
      <c r="F563" s="40" t="str">
        <f>DailyCompletionTable[[#This Row],[TABLE_NAME]]&amp;DailyCompletionTable[[#This Row],[PROCESS_DATE]]</f>
        <v>VIPEQST2021-01-29</v>
      </c>
      <c r="G563" s="41">
        <f>DATE(LEFT(DailyCompletionTable[[#This Row],[PROCESS_DATE]],4),MID(DailyCompletionTable[[#This Row],[PROCESS_DATE]],6,2),MID(DailyCompletionTable[[#This Row],[PROCESS_DATE]],9,2))</f>
        <v>44225</v>
      </c>
      <c r="H56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44224.851597222223</v>
      </c>
    </row>
    <row r="564" spans="1:8" x14ac:dyDescent="0.3">
      <c r="A564" s="2" t="s">
        <v>489</v>
      </c>
      <c r="B564" s="2" t="s">
        <v>9</v>
      </c>
      <c r="C564" s="2" t="s">
        <v>207</v>
      </c>
      <c r="D564" s="2" t="s">
        <v>11</v>
      </c>
      <c r="E564" s="39" t="s">
        <v>547</v>
      </c>
      <c r="F564" s="40" t="str">
        <f>DailyCompletionTable[[#This Row],[TABLE_NAME]]&amp;DailyCompletionTable[[#This Row],[PROCESS_DATE]]</f>
        <v>VIPESBT2021-01-29</v>
      </c>
      <c r="G564" s="41">
        <f>DATE(LEFT(DailyCompletionTable[[#This Row],[PROCESS_DATE]],4),MID(DailyCompletionTable[[#This Row],[PROCESS_DATE]],6,2),MID(DailyCompletionTable[[#This Row],[PROCESS_DATE]],9,2))</f>
        <v>44225</v>
      </c>
      <c r="H56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44224.921203703707</v>
      </c>
    </row>
    <row r="565" spans="1:8" x14ac:dyDescent="0.3">
      <c r="A565" s="2" t="s">
        <v>489</v>
      </c>
      <c r="B565" s="2" t="s">
        <v>9</v>
      </c>
      <c r="C565" s="2" t="s">
        <v>209</v>
      </c>
      <c r="D565" s="2" t="s">
        <v>11</v>
      </c>
      <c r="E565" s="39" t="s">
        <v>548</v>
      </c>
      <c r="F565" s="40" t="str">
        <f>DailyCompletionTable[[#This Row],[TABLE_NAME]]&amp;DailyCompletionTable[[#This Row],[PROCESS_DATE]]</f>
        <v>VIPETFT2021-01-29</v>
      </c>
      <c r="G565" s="41">
        <f>DATE(LEFT(DailyCompletionTable[[#This Row],[PROCESS_DATE]],4),MID(DailyCompletionTable[[#This Row],[PROCESS_DATE]],6,2),MID(DailyCompletionTable[[#This Row],[PROCESS_DATE]],9,2))</f>
        <v>44225</v>
      </c>
      <c r="H56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44224.84716435185</v>
      </c>
    </row>
    <row r="566" spans="1:8" x14ac:dyDescent="0.3">
      <c r="A566" s="2" t="s">
        <v>489</v>
      </c>
      <c r="B566" s="2" t="s">
        <v>9</v>
      </c>
      <c r="C566" s="2" t="s">
        <v>211</v>
      </c>
      <c r="D566" s="2" t="s">
        <v>11</v>
      </c>
      <c r="E566" s="39" t="s">
        <v>549</v>
      </c>
      <c r="F566" s="40" t="str">
        <f>DailyCompletionTable[[#This Row],[TABLE_NAME]]&amp;DailyCompletionTable[[#This Row],[PROCESS_DATE]]</f>
        <v>VIPETTT2021-01-29</v>
      </c>
      <c r="G566" s="41">
        <f>DATE(LEFT(DailyCompletionTable[[#This Row],[PROCESS_DATE]],4),MID(DailyCompletionTable[[#This Row],[PROCESS_DATE]],6,2),MID(DailyCompletionTable[[#This Row],[PROCESS_DATE]],9,2))</f>
        <v>44225</v>
      </c>
      <c r="H56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44224.847557870373</v>
      </c>
    </row>
    <row r="567" spans="1:8" x14ac:dyDescent="0.3">
      <c r="A567" s="2" t="s">
        <v>489</v>
      </c>
      <c r="B567" s="2" t="s">
        <v>9</v>
      </c>
      <c r="C567" s="2" t="s">
        <v>213</v>
      </c>
      <c r="D567" s="2" t="s">
        <v>70</v>
      </c>
      <c r="E567" s="39" t="s">
        <v>550</v>
      </c>
      <c r="F567" s="40" t="str">
        <f>DailyCompletionTable[[#This Row],[TABLE_NAME]]&amp;DailyCompletionTable[[#This Row],[PROCESS_DATE]]</f>
        <v>VIPEURT2021-01-22</v>
      </c>
      <c r="G567" s="41">
        <f>DATE(LEFT(DailyCompletionTable[[#This Row],[PROCESS_DATE]],4),MID(DailyCompletionTable[[#This Row],[PROCESS_DATE]],6,2),MID(DailyCompletionTable[[#This Row],[PROCESS_DATE]],9,2))</f>
        <v>44218</v>
      </c>
      <c r="H56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44218.136493055557</v>
      </c>
    </row>
    <row r="568" spans="1:8" x14ac:dyDescent="0.3">
      <c r="A568" s="2" t="s">
        <v>489</v>
      </c>
      <c r="B568" s="2" t="s">
        <v>9</v>
      </c>
      <c r="C568" s="2" t="s">
        <v>215</v>
      </c>
      <c r="D568" s="2" t="s">
        <v>70</v>
      </c>
      <c r="E568" s="39" t="s">
        <v>551</v>
      </c>
      <c r="F568" s="40" t="str">
        <f>DailyCompletionTable[[#This Row],[TABLE_NAME]]&amp;DailyCompletionTable[[#This Row],[PROCESS_DATE]]</f>
        <v>VIPEUTT2021-01-22</v>
      </c>
      <c r="G568" s="41">
        <f>DATE(LEFT(DailyCompletionTable[[#This Row],[PROCESS_DATE]],4),MID(DailyCompletionTable[[#This Row],[PROCESS_DATE]],6,2),MID(DailyCompletionTable[[#This Row],[PROCESS_DATE]],9,2))</f>
        <v>44218</v>
      </c>
      <c r="H56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44218.176562499997</v>
      </c>
    </row>
    <row r="569" spans="1:8" x14ac:dyDescent="0.3">
      <c r="A569" s="2" t="s">
        <v>489</v>
      </c>
      <c r="B569" s="2" t="s">
        <v>9</v>
      </c>
      <c r="C569" s="2" t="s">
        <v>217</v>
      </c>
      <c r="D569" s="2" t="s">
        <v>11</v>
      </c>
      <c r="E569" s="39" t="s">
        <v>552</v>
      </c>
      <c r="F569" s="40" t="str">
        <f>DailyCompletionTable[[#This Row],[TABLE_NAME]]&amp;DailyCompletionTable[[#This Row],[PROCESS_DATE]]</f>
        <v>VIPEVBT2021-01-29</v>
      </c>
      <c r="G569" s="41">
        <f>DATE(LEFT(DailyCompletionTable[[#This Row],[PROCESS_DATE]],4),MID(DailyCompletionTable[[#This Row],[PROCESS_DATE]],6,2),MID(DailyCompletionTable[[#This Row],[PROCESS_DATE]],9,2))</f>
        <v>44225</v>
      </c>
      <c r="H56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44224.862719907411</v>
      </c>
    </row>
    <row r="570" spans="1:8" x14ac:dyDescent="0.3">
      <c r="A570" s="2" t="s">
        <v>489</v>
      </c>
      <c r="B570" s="2" t="s">
        <v>9</v>
      </c>
      <c r="C570" s="2" t="s">
        <v>219</v>
      </c>
      <c r="D570" s="2" t="s">
        <v>11</v>
      </c>
      <c r="E570" s="39" t="s">
        <v>552</v>
      </c>
      <c r="F570" s="40" t="str">
        <f>DailyCompletionTable[[#This Row],[TABLE_NAME]]&amp;DailyCompletionTable[[#This Row],[PROCESS_DATE]]</f>
        <v>VIPEVDT2021-01-29</v>
      </c>
      <c r="G570" s="41">
        <f>DATE(LEFT(DailyCompletionTable[[#This Row],[PROCESS_DATE]],4),MID(DailyCompletionTable[[#This Row],[PROCESS_DATE]],6,2),MID(DailyCompletionTable[[#This Row],[PROCESS_DATE]],9,2))</f>
        <v>44225</v>
      </c>
      <c r="H57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44224.862719907411</v>
      </c>
    </row>
    <row r="571" spans="1:8" x14ac:dyDescent="0.3">
      <c r="A571" s="2" t="s">
        <v>489</v>
      </c>
      <c r="B571" s="2" t="s">
        <v>9</v>
      </c>
      <c r="C571" s="2" t="s">
        <v>220</v>
      </c>
      <c r="D571" s="2" t="s">
        <v>11</v>
      </c>
      <c r="E571" s="39" t="s">
        <v>552</v>
      </c>
      <c r="F571" s="40" t="str">
        <f>DailyCompletionTable[[#This Row],[TABLE_NAME]]&amp;DailyCompletionTable[[#This Row],[PROCESS_DATE]]</f>
        <v>VIPEVPT2021-01-29</v>
      </c>
      <c r="G571" s="41">
        <f>DATE(LEFT(DailyCompletionTable[[#This Row],[PROCESS_DATE]],4),MID(DailyCompletionTable[[#This Row],[PROCESS_DATE]],6,2),MID(DailyCompletionTable[[#This Row],[PROCESS_DATE]],9,2))</f>
        <v>44225</v>
      </c>
      <c r="H57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44224.862719907411</v>
      </c>
    </row>
    <row r="572" spans="1:8" x14ac:dyDescent="0.3">
      <c r="A572" s="2" t="s">
        <v>489</v>
      </c>
      <c r="B572" s="2" t="s">
        <v>9</v>
      </c>
      <c r="C572" s="2" t="s">
        <v>221</v>
      </c>
      <c r="D572" s="2" t="s">
        <v>11</v>
      </c>
      <c r="E572" s="39" t="s">
        <v>552</v>
      </c>
      <c r="F572" s="40" t="str">
        <f>DailyCompletionTable[[#This Row],[TABLE_NAME]]&amp;DailyCompletionTable[[#This Row],[PROCESS_DATE]]</f>
        <v>VIPEVST2021-01-29</v>
      </c>
      <c r="G572" s="41">
        <f>DATE(LEFT(DailyCompletionTable[[#This Row],[PROCESS_DATE]],4),MID(DailyCompletionTable[[#This Row],[PROCESS_DATE]],6,2),MID(DailyCompletionTable[[#This Row],[PROCESS_DATE]],9,2))</f>
        <v>44225</v>
      </c>
      <c r="H57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44224.862719907411</v>
      </c>
    </row>
    <row r="573" spans="1:8" x14ac:dyDescent="0.3">
      <c r="A573" s="2" t="s">
        <v>489</v>
      </c>
      <c r="B573" s="2" t="s">
        <v>9</v>
      </c>
      <c r="C573" s="2" t="s">
        <v>222</v>
      </c>
      <c r="D573" s="2" t="s">
        <v>11</v>
      </c>
      <c r="E573" s="39" t="s">
        <v>553</v>
      </c>
      <c r="F573" s="40" t="str">
        <f>DailyCompletionTable[[#This Row],[TABLE_NAME]]&amp;DailyCompletionTable[[#This Row],[PROCESS_DATE]]</f>
        <v>VIPFDPT2021-01-29</v>
      </c>
      <c r="G573" s="41">
        <f>DATE(LEFT(DailyCompletionTable[[#This Row],[PROCESS_DATE]],4),MID(DailyCompletionTable[[#This Row],[PROCESS_DATE]],6,2),MID(DailyCompletionTable[[#This Row],[PROCESS_DATE]],9,2))</f>
        <v>44225</v>
      </c>
      <c r="H57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44224.848055555558</v>
      </c>
    </row>
    <row r="574" spans="1:8" x14ac:dyDescent="0.3">
      <c r="A574" s="2" t="s">
        <v>489</v>
      </c>
      <c r="B574" s="2" t="s">
        <v>9</v>
      </c>
      <c r="C574" s="2" t="s">
        <v>223</v>
      </c>
      <c r="D574" s="2" t="s">
        <v>11</v>
      </c>
      <c r="E574" s="39" t="s">
        <v>554</v>
      </c>
      <c r="F574" s="40" t="str">
        <f>DailyCompletionTable[[#This Row],[TABLE_NAME]]&amp;DailyCompletionTable[[#This Row],[PROCESS_DATE]]</f>
        <v>VIPGPST2021-01-29</v>
      </c>
      <c r="G574" s="41">
        <f>DATE(LEFT(DailyCompletionTable[[#This Row],[PROCESS_DATE]],4),MID(DailyCompletionTable[[#This Row],[PROCESS_DATE]],6,2),MID(DailyCompletionTable[[#This Row],[PROCESS_DATE]],9,2))</f>
        <v>44225</v>
      </c>
      <c r="H57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44224.966944444444</v>
      </c>
    </row>
    <row r="575" spans="1:8" x14ac:dyDescent="0.3">
      <c r="A575" s="2" t="s">
        <v>489</v>
      </c>
      <c r="B575" s="2" t="s">
        <v>9</v>
      </c>
      <c r="C575" s="2" t="s">
        <v>225</v>
      </c>
      <c r="D575" s="2" t="s">
        <v>11</v>
      </c>
      <c r="E575" s="39" t="s">
        <v>528</v>
      </c>
      <c r="F575" s="40" t="str">
        <f>DailyCompletionTable[[#This Row],[TABLE_NAME]]&amp;DailyCompletionTable[[#This Row],[PROCESS_DATE]]</f>
        <v>VIPHSBT2021-01-29</v>
      </c>
      <c r="G575" s="41">
        <f>DATE(LEFT(DailyCompletionTable[[#This Row],[PROCESS_DATE]],4),MID(DailyCompletionTable[[#This Row],[PROCESS_DATE]],6,2),MID(DailyCompletionTable[[#This Row],[PROCESS_DATE]],9,2))</f>
        <v>44225</v>
      </c>
      <c r="H57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44224.847395833334</v>
      </c>
    </row>
    <row r="576" spans="1:8" x14ac:dyDescent="0.3">
      <c r="A576" s="2" t="s">
        <v>489</v>
      </c>
      <c r="B576" s="2" t="s">
        <v>9</v>
      </c>
      <c r="C576" s="2" t="s">
        <v>227</v>
      </c>
      <c r="D576" s="2" t="s">
        <v>11</v>
      </c>
      <c r="E576" s="39" t="s">
        <v>528</v>
      </c>
      <c r="F576" s="40" t="str">
        <f>DailyCompletionTable[[#This Row],[TABLE_NAME]]&amp;DailyCompletionTable[[#This Row],[PROCESS_DATE]]</f>
        <v>VIPHSLT2021-01-29</v>
      </c>
      <c r="G576" s="41">
        <f>DATE(LEFT(DailyCompletionTable[[#This Row],[PROCESS_DATE]],4),MID(DailyCompletionTable[[#This Row],[PROCESS_DATE]],6,2),MID(DailyCompletionTable[[#This Row],[PROCESS_DATE]],9,2))</f>
        <v>44225</v>
      </c>
      <c r="H57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44224.847395833334</v>
      </c>
    </row>
    <row r="577" spans="1:8" x14ac:dyDescent="0.3">
      <c r="A577" s="2" t="s">
        <v>489</v>
      </c>
      <c r="B577" s="2" t="s">
        <v>9</v>
      </c>
      <c r="C577" s="2" t="s">
        <v>228</v>
      </c>
      <c r="D577" s="2" t="s">
        <v>11</v>
      </c>
      <c r="E577" s="39" t="s">
        <v>528</v>
      </c>
      <c r="F577" s="40" t="str">
        <f>DailyCompletionTable[[#This Row],[TABLE_NAME]]&amp;DailyCompletionTable[[#This Row],[PROCESS_DATE]]</f>
        <v>VIPHSMT2021-01-29</v>
      </c>
      <c r="G577" s="41">
        <f>DATE(LEFT(DailyCompletionTable[[#This Row],[PROCESS_DATE]],4),MID(DailyCompletionTable[[#This Row],[PROCESS_DATE]],6,2),MID(DailyCompletionTable[[#This Row],[PROCESS_DATE]],9,2))</f>
        <v>44225</v>
      </c>
      <c r="H57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44224.847395833334</v>
      </c>
    </row>
    <row r="578" spans="1:8" x14ac:dyDescent="0.3">
      <c r="A578" s="2" t="s">
        <v>489</v>
      </c>
      <c r="B578" s="2" t="s">
        <v>9</v>
      </c>
      <c r="C578" s="2" t="s">
        <v>229</v>
      </c>
      <c r="D578" s="2" t="s">
        <v>11</v>
      </c>
      <c r="E578" s="39" t="s">
        <v>555</v>
      </c>
      <c r="F578" s="40" t="str">
        <f>DailyCompletionTable[[#This Row],[TABLE_NAME]]&amp;DailyCompletionTable[[#This Row],[PROCESS_DATE]]</f>
        <v>VIPITVT2021-01-29</v>
      </c>
      <c r="G578" s="41">
        <f>DATE(LEFT(DailyCompletionTable[[#This Row],[PROCESS_DATE]],4),MID(DailyCompletionTable[[#This Row],[PROCESS_DATE]],6,2),MID(DailyCompletionTable[[#This Row],[PROCESS_DATE]],9,2))</f>
        <v>44225</v>
      </c>
      <c r="H57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44224.974664351852</v>
      </c>
    </row>
    <row r="579" spans="1:8" x14ac:dyDescent="0.3">
      <c r="A579" s="2" t="s">
        <v>489</v>
      </c>
      <c r="B579" s="2" t="s">
        <v>9</v>
      </c>
      <c r="C579" s="2" t="s">
        <v>231</v>
      </c>
      <c r="D579" s="2" t="s">
        <v>11</v>
      </c>
      <c r="E579" s="39" t="s">
        <v>548</v>
      </c>
      <c r="F579" s="40" t="str">
        <f>DailyCompletionTable[[#This Row],[TABLE_NAME]]&amp;DailyCompletionTable[[#This Row],[PROCESS_DATE]]</f>
        <v>VIPLTRT2021-01-29</v>
      </c>
      <c r="G579" s="41">
        <f>DATE(LEFT(DailyCompletionTable[[#This Row],[PROCESS_DATE]],4),MID(DailyCompletionTable[[#This Row],[PROCESS_DATE]],6,2),MID(DailyCompletionTable[[#This Row],[PROCESS_DATE]],9,2))</f>
        <v>44225</v>
      </c>
      <c r="H57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44224.84716435185</v>
      </c>
    </row>
    <row r="580" spans="1:8" x14ac:dyDescent="0.3">
      <c r="A580" s="2" t="s">
        <v>489</v>
      </c>
      <c r="B580" s="2" t="s">
        <v>9</v>
      </c>
      <c r="C580" s="2" t="s">
        <v>232</v>
      </c>
      <c r="D580" s="2" t="s">
        <v>11</v>
      </c>
      <c r="E580" s="39" t="s">
        <v>438</v>
      </c>
      <c r="F580" s="40" t="str">
        <f>DailyCompletionTable[[#This Row],[TABLE_NAME]]&amp;DailyCompletionTable[[#This Row],[PROCESS_DATE]]</f>
        <v>VIPMN1T2021-01-29</v>
      </c>
      <c r="G580" s="41">
        <f>DATE(LEFT(DailyCompletionTable[[#This Row],[PROCESS_DATE]],4),MID(DailyCompletionTable[[#This Row],[PROCESS_DATE]],6,2),MID(DailyCompletionTable[[#This Row],[PROCESS_DATE]],9,2))</f>
        <v>44225</v>
      </c>
      <c r="H58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44224.959722222222</v>
      </c>
    </row>
    <row r="581" spans="1:8" x14ac:dyDescent="0.3">
      <c r="A581" s="2" t="s">
        <v>489</v>
      </c>
      <c r="B581" s="2" t="s">
        <v>9</v>
      </c>
      <c r="C581" s="2" t="s">
        <v>233</v>
      </c>
      <c r="D581" s="2" t="s">
        <v>11</v>
      </c>
      <c r="E581" s="39" t="s">
        <v>439</v>
      </c>
      <c r="F581" s="40" t="str">
        <f>DailyCompletionTable[[#This Row],[TABLE_NAME]]&amp;DailyCompletionTable[[#This Row],[PROCESS_DATE]]</f>
        <v>VIPMONT2021-01-29</v>
      </c>
      <c r="G581" s="41">
        <f>DATE(LEFT(DailyCompletionTable[[#This Row],[PROCESS_DATE]],4),MID(DailyCompletionTable[[#This Row],[PROCESS_DATE]],6,2),MID(DailyCompletionTable[[#This Row],[PROCESS_DATE]],9,2))</f>
        <v>44225</v>
      </c>
      <c r="H58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44224.964583333334</v>
      </c>
    </row>
    <row r="582" spans="1:8" x14ac:dyDescent="0.3">
      <c r="A582" s="2" t="s">
        <v>489</v>
      </c>
      <c r="B582" s="2" t="s">
        <v>9</v>
      </c>
      <c r="C582" s="2" t="s">
        <v>235</v>
      </c>
      <c r="D582" s="2" t="s">
        <v>11</v>
      </c>
      <c r="E582" s="39" t="s">
        <v>556</v>
      </c>
      <c r="F582" s="40" t="str">
        <f>DailyCompletionTable[[#This Row],[TABLE_NAME]]&amp;DailyCompletionTable[[#This Row],[PROCESS_DATE]]</f>
        <v>VIPNEQT2021-01-29</v>
      </c>
      <c r="G582" s="41">
        <f>DATE(LEFT(DailyCompletionTable[[#This Row],[PROCESS_DATE]],4),MID(DailyCompletionTable[[#This Row],[PROCESS_DATE]],6,2),MID(DailyCompletionTable[[#This Row],[PROCESS_DATE]],9,2))</f>
        <v>44225</v>
      </c>
      <c r="H58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44224.847500000003</v>
      </c>
    </row>
    <row r="583" spans="1:8" x14ac:dyDescent="0.3">
      <c r="A583" s="2" t="s">
        <v>489</v>
      </c>
      <c r="B583" s="2" t="s">
        <v>9</v>
      </c>
      <c r="C583" s="2" t="s">
        <v>237</v>
      </c>
      <c r="D583" s="2" t="s">
        <v>11</v>
      </c>
      <c r="E583" s="39" t="s">
        <v>397</v>
      </c>
      <c r="F583" s="40" t="str">
        <f>DailyCompletionTable[[#This Row],[TABLE_NAME]]&amp;DailyCompletionTable[[#This Row],[PROCESS_DATE]]</f>
        <v>VIPNQLT2021-01-29</v>
      </c>
      <c r="G583" s="41">
        <f>DATE(LEFT(DailyCompletionTable[[#This Row],[PROCESS_DATE]],4),MID(DailyCompletionTable[[#This Row],[PROCESS_DATE]],6,2),MID(DailyCompletionTable[[#This Row],[PROCESS_DATE]],9,2))</f>
        <v>44225</v>
      </c>
      <c r="H58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44224.848090277781</v>
      </c>
    </row>
    <row r="584" spans="1:8" x14ac:dyDescent="0.3">
      <c r="A584" s="2" t="s">
        <v>489</v>
      </c>
      <c r="B584" s="2" t="s">
        <v>9</v>
      </c>
      <c r="C584" s="2" t="s">
        <v>238</v>
      </c>
      <c r="D584" s="2" t="s">
        <v>11</v>
      </c>
      <c r="E584" s="39" t="s">
        <v>440</v>
      </c>
      <c r="F584" s="40" t="str">
        <f>DailyCompletionTable[[#This Row],[TABLE_NAME]]&amp;DailyCompletionTable[[#This Row],[PROCESS_DATE]]</f>
        <v>VIPOAJT2021-01-29</v>
      </c>
      <c r="G584" s="41">
        <f>DATE(LEFT(DailyCompletionTable[[#This Row],[PROCESS_DATE]],4),MID(DailyCompletionTable[[#This Row],[PROCESS_DATE]],6,2),MID(DailyCompletionTable[[#This Row],[PROCESS_DATE]],9,2))</f>
        <v>44225</v>
      </c>
      <c r="H58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44224.848344907405</v>
      </c>
    </row>
    <row r="585" spans="1:8" x14ac:dyDescent="0.3">
      <c r="A585" s="2" t="s">
        <v>489</v>
      </c>
      <c r="B585" s="2" t="s">
        <v>9</v>
      </c>
      <c r="C585" s="2" t="s">
        <v>240</v>
      </c>
      <c r="D585" s="2" t="s">
        <v>11</v>
      </c>
      <c r="E585" s="39" t="s">
        <v>440</v>
      </c>
      <c r="F585" s="40" t="str">
        <f>DailyCompletionTable[[#This Row],[TABLE_NAME]]&amp;DailyCompletionTable[[#This Row],[PROCESS_DATE]]</f>
        <v>VIPOAOT2021-01-29</v>
      </c>
      <c r="G585" s="41">
        <f>DATE(LEFT(DailyCompletionTable[[#This Row],[PROCESS_DATE]],4),MID(DailyCompletionTable[[#This Row],[PROCESS_DATE]],6,2),MID(DailyCompletionTable[[#This Row],[PROCESS_DATE]],9,2))</f>
        <v>44225</v>
      </c>
      <c r="H58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44224.848344907405</v>
      </c>
    </row>
    <row r="586" spans="1:8" x14ac:dyDescent="0.3">
      <c r="A586" s="2" t="s">
        <v>489</v>
      </c>
      <c r="B586" s="2" t="s">
        <v>9</v>
      </c>
      <c r="C586" s="2" t="s">
        <v>241</v>
      </c>
      <c r="D586" s="2" t="s">
        <v>11</v>
      </c>
      <c r="E586" s="39" t="s">
        <v>557</v>
      </c>
      <c r="F586" s="40" t="str">
        <f>DailyCompletionTable[[#This Row],[TABLE_NAME]]&amp;DailyCompletionTable[[#This Row],[PROCESS_DATE]]</f>
        <v>VIPOC1T2021-01-29</v>
      </c>
      <c r="G586" s="41">
        <f>DATE(LEFT(DailyCompletionTable[[#This Row],[PROCESS_DATE]],4),MID(DailyCompletionTable[[#This Row],[PROCESS_DATE]],6,2),MID(DailyCompletionTable[[#This Row],[PROCESS_DATE]],9,2))</f>
        <v>44225</v>
      </c>
      <c r="H58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44224.846192129633</v>
      </c>
    </row>
    <row r="587" spans="1:8" x14ac:dyDescent="0.3">
      <c r="A587" s="2" t="s">
        <v>489</v>
      </c>
      <c r="B587" s="2" t="s">
        <v>9</v>
      </c>
      <c r="C587" s="2" t="s">
        <v>243</v>
      </c>
      <c r="D587" s="2" t="s">
        <v>11</v>
      </c>
      <c r="E587" s="39" t="s">
        <v>558</v>
      </c>
      <c r="F587" s="40" t="str">
        <f>DailyCompletionTable[[#This Row],[TABLE_NAME]]&amp;DailyCompletionTable[[#This Row],[PROCESS_DATE]]</f>
        <v>VIPOCIT2021-01-29</v>
      </c>
      <c r="G587" s="41">
        <f>DATE(LEFT(DailyCompletionTable[[#This Row],[PROCESS_DATE]],4),MID(DailyCompletionTable[[#This Row],[PROCESS_DATE]],6,2),MID(DailyCompletionTable[[#This Row],[PROCESS_DATE]],9,2))</f>
        <v>44225</v>
      </c>
      <c r="H58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44224.95416666667</v>
      </c>
    </row>
    <row r="588" spans="1:8" x14ac:dyDescent="0.3">
      <c r="A588" s="2" t="s">
        <v>489</v>
      </c>
      <c r="B588" s="2" t="s">
        <v>9</v>
      </c>
      <c r="C588" s="2" t="s">
        <v>245</v>
      </c>
      <c r="D588" s="2" t="s">
        <v>11</v>
      </c>
      <c r="E588" s="39" t="s">
        <v>426</v>
      </c>
      <c r="F588" s="40" t="str">
        <f>DailyCompletionTable[[#This Row],[TABLE_NAME]]&amp;DailyCompletionTable[[#This Row],[PROCESS_DATE]]</f>
        <v>VIPOCLT2021-01-29</v>
      </c>
      <c r="G588" s="41">
        <f>DATE(LEFT(DailyCompletionTable[[#This Row],[PROCESS_DATE]],4),MID(DailyCompletionTable[[#This Row],[PROCESS_DATE]],6,2),MID(DailyCompletionTable[[#This Row],[PROCESS_DATE]],9,2))</f>
        <v>44225</v>
      </c>
      <c r="H58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44224.84820601852</v>
      </c>
    </row>
    <row r="589" spans="1:8" x14ac:dyDescent="0.3">
      <c r="A589" s="2" t="s">
        <v>489</v>
      </c>
      <c r="B589" s="2" t="s">
        <v>9</v>
      </c>
      <c r="C589" s="2" t="s">
        <v>247</v>
      </c>
      <c r="D589" s="2" t="s">
        <v>11</v>
      </c>
      <c r="E589" s="39" t="s">
        <v>559</v>
      </c>
      <c r="F589" s="40" t="str">
        <f>DailyCompletionTable[[#This Row],[TABLE_NAME]]&amp;DailyCompletionTable[[#This Row],[PROCESS_DATE]]</f>
        <v>VIPOCRT2021-01-29</v>
      </c>
      <c r="G589" s="41">
        <f>DATE(LEFT(DailyCompletionTable[[#This Row],[PROCESS_DATE]],4),MID(DailyCompletionTable[[#This Row],[PROCESS_DATE]],6,2),MID(DailyCompletionTable[[#This Row],[PROCESS_DATE]],9,2))</f>
        <v>44225</v>
      </c>
      <c r="H58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44224.848391203705</v>
      </c>
    </row>
    <row r="590" spans="1:8" x14ac:dyDescent="0.3">
      <c r="A590" s="2" t="s">
        <v>489</v>
      </c>
      <c r="B590" s="2" t="s">
        <v>9</v>
      </c>
      <c r="C590" s="2" t="s">
        <v>249</v>
      </c>
      <c r="D590" s="2" t="s">
        <v>11</v>
      </c>
      <c r="E590" s="39" t="s">
        <v>560</v>
      </c>
      <c r="F590" s="40" t="str">
        <f>DailyCompletionTable[[#This Row],[TABLE_NAME]]&amp;DailyCompletionTable[[#This Row],[PROCESS_DATE]]</f>
        <v>VIPODIT2021-01-29</v>
      </c>
      <c r="G590" s="41">
        <f>DATE(LEFT(DailyCompletionTable[[#This Row],[PROCESS_DATE]],4),MID(DailyCompletionTable[[#This Row],[PROCESS_DATE]],6,2),MID(DailyCompletionTable[[#This Row],[PROCESS_DATE]],9,2))</f>
        <v>44225</v>
      </c>
      <c r="H59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44224.871041666665</v>
      </c>
    </row>
    <row r="591" spans="1:8" x14ac:dyDescent="0.3">
      <c r="A591" s="2" t="s">
        <v>489</v>
      </c>
      <c r="B591" s="2" t="s">
        <v>9</v>
      </c>
      <c r="C591" s="2" t="s">
        <v>251</v>
      </c>
      <c r="D591" s="2" t="s">
        <v>11</v>
      </c>
      <c r="E591" s="39" t="s">
        <v>507</v>
      </c>
      <c r="F591" s="40" t="str">
        <f>DailyCompletionTable[[#This Row],[TABLE_NAME]]&amp;DailyCompletionTable[[#This Row],[PROCESS_DATE]]</f>
        <v>VIPODST2021-01-29</v>
      </c>
      <c r="G591" s="41">
        <f>DATE(LEFT(DailyCompletionTable[[#This Row],[PROCESS_DATE]],4),MID(DailyCompletionTable[[#This Row],[PROCESS_DATE]],6,2),MID(DailyCompletionTable[[#This Row],[PROCESS_DATE]],9,2))</f>
        <v>44225</v>
      </c>
      <c r="H59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44224.847662037035</v>
      </c>
    </row>
    <row r="592" spans="1:8" x14ac:dyDescent="0.3">
      <c r="A592" s="2" t="s">
        <v>489</v>
      </c>
      <c r="B592" s="2" t="s">
        <v>9</v>
      </c>
      <c r="C592" s="2" t="s">
        <v>252</v>
      </c>
      <c r="D592" s="2" t="s">
        <v>11</v>
      </c>
      <c r="E592" s="39" t="s">
        <v>376</v>
      </c>
      <c r="F592" s="40" t="str">
        <f>DailyCompletionTable[[#This Row],[TABLE_NAME]]&amp;DailyCompletionTable[[#This Row],[PROCESS_DATE]]</f>
        <v>VIPOHIT2021-01-29</v>
      </c>
      <c r="G592" s="41">
        <f>DATE(LEFT(DailyCompletionTable[[#This Row],[PROCESS_DATE]],4),MID(DailyCompletionTable[[#This Row],[PROCESS_DATE]],6,2),MID(DailyCompletionTable[[#This Row],[PROCESS_DATE]],9,2))</f>
        <v>44225</v>
      </c>
      <c r="H59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44224.848368055558</v>
      </c>
    </row>
    <row r="593" spans="1:8" x14ac:dyDescent="0.3">
      <c r="A593" s="2" t="s">
        <v>489</v>
      </c>
      <c r="B593" s="2" t="s">
        <v>9</v>
      </c>
      <c r="C593" s="2" t="s">
        <v>253</v>
      </c>
      <c r="D593" s="2" t="s">
        <v>11</v>
      </c>
      <c r="E593" s="39" t="s">
        <v>561</v>
      </c>
      <c r="F593" s="40" t="str">
        <f>DailyCompletionTable[[#This Row],[TABLE_NAME]]&amp;DailyCompletionTable[[#This Row],[PROCESS_DATE]]</f>
        <v>VIPOJAT2021-01-29</v>
      </c>
      <c r="G593" s="41">
        <f>DATE(LEFT(DailyCompletionTable[[#This Row],[PROCESS_DATE]],4),MID(DailyCompletionTable[[#This Row],[PROCESS_DATE]],6,2),MID(DailyCompletionTable[[#This Row],[PROCESS_DATE]],9,2))</f>
        <v>44225</v>
      </c>
      <c r="H59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44224.847928240742</v>
      </c>
    </row>
    <row r="594" spans="1:8" x14ac:dyDescent="0.3">
      <c r="A594" s="2" t="s">
        <v>489</v>
      </c>
      <c r="B594" s="2" t="s">
        <v>9</v>
      </c>
      <c r="C594" s="2" t="s">
        <v>254</v>
      </c>
      <c r="D594" s="2" t="s">
        <v>11</v>
      </c>
      <c r="E594" s="39" t="s">
        <v>561</v>
      </c>
      <c r="F594" s="40" t="str">
        <f>DailyCompletionTable[[#This Row],[TABLE_NAME]]&amp;DailyCompletionTable[[#This Row],[PROCESS_DATE]]</f>
        <v>VIPOJBT2021-01-29</v>
      </c>
      <c r="G594" s="41">
        <f>DATE(LEFT(DailyCompletionTable[[#This Row],[PROCESS_DATE]],4),MID(DailyCompletionTable[[#This Row],[PROCESS_DATE]],6,2),MID(DailyCompletionTable[[#This Row],[PROCESS_DATE]],9,2))</f>
        <v>44225</v>
      </c>
      <c r="H59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44224.847928240742</v>
      </c>
    </row>
    <row r="595" spans="1:8" x14ac:dyDescent="0.3">
      <c r="A595" s="2" t="s">
        <v>489</v>
      </c>
      <c r="B595" s="2" t="s">
        <v>9</v>
      </c>
      <c r="C595" s="2" t="s">
        <v>255</v>
      </c>
      <c r="D595" s="2" t="s">
        <v>11</v>
      </c>
      <c r="E595" s="39" t="s">
        <v>150</v>
      </c>
      <c r="F595" s="40" t="str">
        <f>DailyCompletionTable[[#This Row],[TABLE_NAME]]&amp;DailyCompletionTable[[#This Row],[PROCESS_DATE]]</f>
        <v>VIPOJCT2021-01-29</v>
      </c>
      <c r="G595" s="41">
        <f>DATE(LEFT(DailyCompletionTable[[#This Row],[PROCESS_DATE]],4),MID(DailyCompletionTable[[#This Row],[PROCESS_DATE]],6,2),MID(DailyCompletionTable[[#This Row],[PROCESS_DATE]],9,2))</f>
        <v>44225</v>
      </c>
      <c r="H59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44225.091423611113</v>
      </c>
    </row>
    <row r="596" spans="1:8" x14ac:dyDescent="0.3">
      <c r="A596" s="2" t="s">
        <v>489</v>
      </c>
      <c r="B596" s="2" t="s">
        <v>9</v>
      </c>
      <c r="C596" s="2" t="s">
        <v>256</v>
      </c>
      <c r="D596" s="2" t="s">
        <v>11</v>
      </c>
      <c r="E596" s="39" t="s">
        <v>561</v>
      </c>
      <c r="F596" s="40" t="str">
        <f>DailyCompletionTable[[#This Row],[TABLE_NAME]]&amp;DailyCompletionTable[[#This Row],[PROCESS_DATE]]</f>
        <v>VIPOJNT2021-01-29</v>
      </c>
      <c r="G596" s="41">
        <f>DATE(LEFT(DailyCompletionTable[[#This Row],[PROCESS_DATE]],4),MID(DailyCompletionTable[[#This Row],[PROCESS_DATE]],6,2),MID(DailyCompletionTable[[#This Row],[PROCESS_DATE]],9,2))</f>
        <v>44225</v>
      </c>
      <c r="H59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44224.847928240742</v>
      </c>
    </row>
    <row r="597" spans="1:8" x14ac:dyDescent="0.3">
      <c r="A597" s="2" t="s">
        <v>489</v>
      </c>
      <c r="B597" s="2" t="s">
        <v>9</v>
      </c>
      <c r="C597" s="2" t="s">
        <v>257</v>
      </c>
      <c r="D597" s="2" t="s">
        <v>11</v>
      </c>
      <c r="E597" s="39" t="s">
        <v>562</v>
      </c>
      <c r="F597" s="40" t="str">
        <f>DailyCompletionTable[[#This Row],[TABLE_NAME]]&amp;DailyCompletionTable[[#This Row],[PROCESS_DATE]]</f>
        <v>VIPOOIT2021-01-29</v>
      </c>
      <c r="G597" s="41">
        <f>DATE(LEFT(DailyCompletionTable[[#This Row],[PROCESS_DATE]],4),MID(DailyCompletionTable[[#This Row],[PROCESS_DATE]],6,2),MID(DailyCompletionTable[[#This Row],[PROCESS_DATE]],9,2))</f>
        <v>44225</v>
      </c>
      <c r="H59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44224.914675925924</v>
      </c>
    </row>
    <row r="598" spans="1:8" x14ac:dyDescent="0.3">
      <c r="A598" s="2" t="s">
        <v>489</v>
      </c>
      <c r="B598" s="2" t="s">
        <v>9</v>
      </c>
      <c r="C598" s="2" t="s">
        <v>259</v>
      </c>
      <c r="D598" s="2" t="s">
        <v>11</v>
      </c>
      <c r="E598" s="39" t="s">
        <v>426</v>
      </c>
      <c r="F598" s="40" t="str">
        <f>DailyCompletionTable[[#This Row],[TABLE_NAME]]&amp;DailyCompletionTable[[#This Row],[PROCESS_DATE]]</f>
        <v>VIPOOLT2021-01-29</v>
      </c>
      <c r="G598" s="41">
        <f>DATE(LEFT(DailyCompletionTable[[#This Row],[PROCESS_DATE]],4),MID(DailyCompletionTable[[#This Row],[PROCESS_DATE]],6,2),MID(DailyCompletionTable[[#This Row],[PROCESS_DATE]],9,2))</f>
        <v>44225</v>
      </c>
      <c r="H59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44224.84820601852</v>
      </c>
    </row>
    <row r="599" spans="1:8" x14ac:dyDescent="0.3">
      <c r="A599" s="2" t="s">
        <v>489</v>
      </c>
      <c r="B599" s="2" t="s">
        <v>9</v>
      </c>
      <c r="C599" s="2" t="s">
        <v>260</v>
      </c>
      <c r="D599" s="2" t="s">
        <v>11</v>
      </c>
      <c r="E599" s="39" t="s">
        <v>559</v>
      </c>
      <c r="F599" s="40" t="str">
        <f>DailyCompletionTable[[#This Row],[TABLE_NAME]]&amp;DailyCompletionTable[[#This Row],[PROCESS_DATE]]</f>
        <v>VIPOORT2021-01-29</v>
      </c>
      <c r="G599" s="41">
        <f>DATE(LEFT(DailyCompletionTable[[#This Row],[PROCESS_DATE]],4),MID(DailyCompletionTable[[#This Row],[PROCESS_DATE]],6,2),MID(DailyCompletionTable[[#This Row],[PROCESS_DATE]],9,2))</f>
        <v>44225</v>
      </c>
      <c r="H59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44224.848391203705</v>
      </c>
    </row>
    <row r="600" spans="1:8" x14ac:dyDescent="0.3">
      <c r="A600" s="2" t="s">
        <v>489</v>
      </c>
      <c r="B600" s="2" t="s">
        <v>9</v>
      </c>
      <c r="C600" s="2" t="s">
        <v>261</v>
      </c>
      <c r="D600" s="2" t="s">
        <v>11</v>
      </c>
      <c r="E600" s="39" t="s">
        <v>563</v>
      </c>
      <c r="F600" s="40" t="str">
        <f>DailyCompletionTable[[#This Row],[TABLE_NAME]]&amp;DailyCompletionTable[[#This Row],[PROCESS_DATE]]</f>
        <v>VIPOPET2021-01-29</v>
      </c>
      <c r="G600" s="41">
        <f>DATE(LEFT(DailyCompletionTable[[#This Row],[PROCESS_DATE]],4),MID(DailyCompletionTable[[#This Row],[PROCESS_DATE]],6,2),MID(DailyCompletionTable[[#This Row],[PROCESS_DATE]],9,2))</f>
        <v>44225</v>
      </c>
      <c r="H60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44224.847280092596</v>
      </c>
    </row>
    <row r="601" spans="1:8" x14ac:dyDescent="0.3">
      <c r="A601" s="2" t="s">
        <v>489</v>
      </c>
      <c r="B601" s="2" t="s">
        <v>9</v>
      </c>
      <c r="C601" s="2" t="s">
        <v>263</v>
      </c>
      <c r="D601" s="2" t="s">
        <v>11</v>
      </c>
      <c r="E601" s="39" t="s">
        <v>564</v>
      </c>
      <c r="F601" s="40" t="str">
        <f>DailyCompletionTable[[#This Row],[TABLE_NAME]]&amp;DailyCompletionTable[[#This Row],[PROCESS_DATE]]</f>
        <v>VIPOPIT2021-01-29</v>
      </c>
      <c r="G601" s="41">
        <f>DATE(LEFT(DailyCompletionTable[[#This Row],[PROCESS_DATE]],4),MID(DailyCompletionTable[[#This Row],[PROCESS_DATE]],6,2),MID(DailyCompletionTable[[#This Row],[PROCESS_DATE]],9,2))</f>
        <v>44225</v>
      </c>
      <c r="H60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44224.848634259259</v>
      </c>
    </row>
    <row r="602" spans="1:8" x14ac:dyDescent="0.3">
      <c r="A602" s="2" t="s">
        <v>489</v>
      </c>
      <c r="B602" s="2" t="s">
        <v>9</v>
      </c>
      <c r="C602" s="2" t="s">
        <v>265</v>
      </c>
      <c r="D602" s="2" t="s">
        <v>11</v>
      </c>
      <c r="E602" s="39" t="s">
        <v>509</v>
      </c>
      <c r="F602" s="40" t="str">
        <f>DailyCompletionTable[[#This Row],[TABLE_NAME]]&amp;DailyCompletionTable[[#This Row],[PROCESS_DATE]]</f>
        <v>VIPOPPT2021-01-29</v>
      </c>
      <c r="G602" s="41">
        <f>DATE(LEFT(DailyCompletionTable[[#This Row],[PROCESS_DATE]],4),MID(DailyCompletionTable[[#This Row],[PROCESS_DATE]],6,2),MID(DailyCompletionTable[[#This Row],[PROCESS_DATE]],9,2))</f>
        <v>44225</v>
      </c>
      <c r="H60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44224.847581018519</v>
      </c>
    </row>
    <row r="603" spans="1:8" x14ac:dyDescent="0.3">
      <c r="A603" s="2" t="s">
        <v>489</v>
      </c>
      <c r="B603" s="2" t="s">
        <v>9</v>
      </c>
      <c r="C603" s="2" t="s">
        <v>267</v>
      </c>
      <c r="D603" s="2" t="s">
        <v>11</v>
      </c>
      <c r="E603" s="39" t="s">
        <v>565</v>
      </c>
      <c r="F603" s="40" t="str">
        <f>DailyCompletionTable[[#This Row],[TABLE_NAME]]&amp;DailyCompletionTable[[#This Row],[PROCESS_DATE]]</f>
        <v>VIPORET2021-01-29</v>
      </c>
      <c r="G603" s="41">
        <f>DATE(LEFT(DailyCompletionTable[[#This Row],[PROCESS_DATE]],4),MID(DailyCompletionTable[[#This Row],[PROCESS_DATE]],6,2),MID(DailyCompletionTable[[#This Row],[PROCESS_DATE]],9,2))</f>
        <v>44225</v>
      </c>
      <c r="H60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44224.864444444444</v>
      </c>
    </row>
    <row r="604" spans="1:8" x14ac:dyDescent="0.3">
      <c r="A604" s="2" t="s">
        <v>489</v>
      </c>
      <c r="B604" s="2" t="s">
        <v>9</v>
      </c>
      <c r="C604" s="2" t="s">
        <v>269</v>
      </c>
      <c r="D604" s="2" t="s">
        <v>11</v>
      </c>
      <c r="E604" s="39" t="s">
        <v>453</v>
      </c>
      <c r="F604" s="40" t="str">
        <f>DailyCompletionTable[[#This Row],[TABLE_NAME]]&amp;DailyCompletionTable[[#This Row],[PROCESS_DATE]]</f>
        <v>VIPOSIT2021-01-29</v>
      </c>
      <c r="G604" s="41">
        <f>DATE(LEFT(DailyCompletionTable[[#This Row],[PROCESS_DATE]],4),MID(DailyCompletionTable[[#This Row],[PROCESS_DATE]],6,2),MID(DailyCompletionTable[[#This Row],[PROCESS_DATE]],9,2))</f>
        <v>44225</v>
      </c>
      <c r="H60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44224.94027777778</v>
      </c>
    </row>
    <row r="605" spans="1:8" x14ac:dyDescent="0.3">
      <c r="A605" s="2" t="s">
        <v>489</v>
      </c>
      <c r="B605" s="2" t="s">
        <v>9</v>
      </c>
      <c r="C605" s="2" t="s">
        <v>271</v>
      </c>
      <c r="D605" s="2" t="s">
        <v>11</v>
      </c>
      <c r="E605" s="39" t="s">
        <v>460</v>
      </c>
      <c r="F605" s="40" t="str">
        <f>DailyCompletionTable[[#This Row],[TABLE_NAME]]&amp;DailyCompletionTable[[#This Row],[PROCESS_DATE]]</f>
        <v>VIPOTBT2021-01-29</v>
      </c>
      <c r="G605" s="41">
        <f>DATE(LEFT(DailyCompletionTable[[#This Row],[PROCESS_DATE]],4),MID(DailyCompletionTable[[#This Row],[PROCESS_DATE]],6,2),MID(DailyCompletionTable[[#This Row],[PROCESS_DATE]],9,2))</f>
        <v>44225</v>
      </c>
      <c r="H60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44225.090092592596</v>
      </c>
    </row>
    <row r="606" spans="1:8" x14ac:dyDescent="0.3">
      <c r="A606" s="2" t="s">
        <v>489</v>
      </c>
      <c r="B606" s="2" t="s">
        <v>9</v>
      </c>
      <c r="C606" s="2" t="s">
        <v>272</v>
      </c>
      <c r="D606" s="2" t="s">
        <v>11</v>
      </c>
      <c r="E606" s="39" t="s">
        <v>566</v>
      </c>
      <c r="F606" s="40" t="str">
        <f>DailyCompletionTable[[#This Row],[TABLE_NAME]]&amp;DailyCompletionTable[[#This Row],[PROCESS_DATE]]</f>
        <v>VIPOTDT2021-01-29</v>
      </c>
      <c r="G606" s="41">
        <f>DATE(LEFT(DailyCompletionTable[[#This Row],[PROCESS_DATE]],4),MID(DailyCompletionTable[[#This Row],[PROCESS_DATE]],6,2),MID(DailyCompletionTable[[#This Row],[PROCESS_DATE]],9,2))</f>
        <v>44225</v>
      </c>
      <c r="H60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44225.090057870373</v>
      </c>
    </row>
    <row r="607" spans="1:8" x14ac:dyDescent="0.3">
      <c r="A607" s="2" t="s">
        <v>489</v>
      </c>
      <c r="B607" s="2" t="s">
        <v>9</v>
      </c>
      <c r="C607" s="2" t="s">
        <v>274</v>
      </c>
      <c r="D607" s="2" t="s">
        <v>11</v>
      </c>
      <c r="E607" s="39" t="s">
        <v>426</v>
      </c>
      <c r="F607" s="40" t="str">
        <f>DailyCompletionTable[[#This Row],[TABLE_NAME]]&amp;DailyCompletionTable[[#This Row],[PROCESS_DATE]]</f>
        <v>VIPOTLT2021-01-29</v>
      </c>
      <c r="G607" s="41">
        <f>DATE(LEFT(DailyCompletionTable[[#This Row],[PROCESS_DATE]],4),MID(DailyCompletionTable[[#This Row],[PROCESS_DATE]],6,2),MID(DailyCompletionTable[[#This Row],[PROCESS_DATE]],9,2))</f>
        <v>44225</v>
      </c>
      <c r="H60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44224.84820601852</v>
      </c>
    </row>
    <row r="608" spans="1:8" x14ac:dyDescent="0.3">
      <c r="A608" s="2" t="s">
        <v>489</v>
      </c>
      <c r="B608" s="2" t="s">
        <v>9</v>
      </c>
      <c r="C608" s="2" t="s">
        <v>275</v>
      </c>
      <c r="D608" s="2" t="s">
        <v>11</v>
      </c>
      <c r="E608" s="39" t="s">
        <v>567</v>
      </c>
      <c r="F608" s="40" t="str">
        <f>DailyCompletionTable[[#This Row],[TABLE_NAME]]&amp;DailyCompletionTable[[#This Row],[PROCESS_DATE]]</f>
        <v>VIPOTRT2021-01-29</v>
      </c>
      <c r="G608" s="41">
        <f>DATE(LEFT(DailyCompletionTable[[#This Row],[PROCESS_DATE]],4),MID(DailyCompletionTable[[#This Row],[PROCESS_DATE]],6,2),MID(DailyCompletionTable[[#This Row],[PROCESS_DATE]],9,2))</f>
        <v>44225</v>
      </c>
      <c r="H60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44224.848402777781</v>
      </c>
    </row>
    <row r="609" spans="1:8" x14ac:dyDescent="0.3">
      <c r="A609" s="2" t="s">
        <v>489</v>
      </c>
      <c r="B609" s="2" t="s">
        <v>9</v>
      </c>
      <c r="C609" s="2" t="s">
        <v>276</v>
      </c>
      <c r="D609" s="2" t="s">
        <v>11</v>
      </c>
      <c r="E609" s="39" t="s">
        <v>568</v>
      </c>
      <c r="F609" s="40" t="str">
        <f>DailyCompletionTable[[#This Row],[TABLE_NAME]]&amp;DailyCompletionTable[[#This Row],[PROCESS_DATE]]</f>
        <v>VIPPAJT2021-01-29</v>
      </c>
      <c r="G609" s="41">
        <f>DATE(LEFT(DailyCompletionTable[[#This Row],[PROCESS_DATE]],4),MID(DailyCompletionTable[[#This Row],[PROCESS_DATE]],6,2),MID(DailyCompletionTable[[#This Row],[PROCESS_DATE]],9,2))</f>
        <v>44225</v>
      </c>
      <c r="H60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44224.927777777775</v>
      </c>
    </row>
    <row r="610" spans="1:8" x14ac:dyDescent="0.3">
      <c r="A610" s="2" t="s">
        <v>489</v>
      </c>
      <c r="B610" s="2" t="s">
        <v>9</v>
      </c>
      <c r="C610" s="2" t="s">
        <v>278</v>
      </c>
      <c r="D610" s="2" t="s">
        <v>11</v>
      </c>
      <c r="E610" s="39" t="s">
        <v>387</v>
      </c>
      <c r="F610" s="40" t="str">
        <f>DailyCompletionTable[[#This Row],[TABLE_NAME]]&amp;DailyCompletionTable[[#This Row],[PROCESS_DATE]]</f>
        <v>VIPPART2021-01-29</v>
      </c>
      <c r="G610" s="41">
        <f>DATE(LEFT(DailyCompletionTable[[#This Row],[PROCESS_DATE]],4),MID(DailyCompletionTable[[#This Row],[PROCESS_DATE]],6,2),MID(DailyCompletionTable[[#This Row],[PROCESS_DATE]],9,2))</f>
        <v>44225</v>
      </c>
      <c r="H61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44224.857685185183</v>
      </c>
    </row>
    <row r="611" spans="1:8" x14ac:dyDescent="0.3">
      <c r="A611" s="2" t="s">
        <v>489</v>
      </c>
      <c r="B611" s="2" t="s">
        <v>9</v>
      </c>
      <c r="C611" s="2" t="s">
        <v>280</v>
      </c>
      <c r="D611" s="2" t="s">
        <v>11</v>
      </c>
      <c r="E611" s="39" t="s">
        <v>569</v>
      </c>
      <c r="F611" s="40" t="str">
        <f>DailyCompletionTable[[#This Row],[TABLE_NAME]]&amp;DailyCompletionTable[[#This Row],[PROCESS_DATE]]</f>
        <v>VIPPDAT2021-01-29</v>
      </c>
      <c r="G611" s="41">
        <f>DATE(LEFT(DailyCompletionTable[[#This Row],[PROCESS_DATE]],4),MID(DailyCompletionTable[[#This Row],[PROCESS_DATE]],6,2),MID(DailyCompletionTable[[#This Row],[PROCESS_DATE]],9,2))</f>
        <v>44225</v>
      </c>
      <c r="H61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44224.847245370373</v>
      </c>
    </row>
    <row r="612" spans="1:8" x14ac:dyDescent="0.3">
      <c r="A612" s="2" t="s">
        <v>489</v>
      </c>
      <c r="B612" s="2" t="s">
        <v>9</v>
      </c>
      <c r="C612" s="2" t="s">
        <v>281</v>
      </c>
      <c r="D612" s="2" t="s">
        <v>11</v>
      </c>
      <c r="E612" s="39" t="s">
        <v>570</v>
      </c>
      <c r="F612" s="40" t="str">
        <f>DailyCompletionTable[[#This Row],[TABLE_NAME]]&amp;DailyCompletionTable[[#This Row],[PROCESS_DATE]]</f>
        <v>VIPPLCT2021-01-29</v>
      </c>
      <c r="G612" s="41">
        <f>DATE(LEFT(DailyCompletionTable[[#This Row],[PROCESS_DATE]],4),MID(DailyCompletionTable[[#This Row],[PROCESS_DATE]],6,2),MID(DailyCompletionTable[[#This Row],[PROCESS_DATE]],9,2))</f>
        <v>44225</v>
      </c>
      <c r="H61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44224.847569444442</v>
      </c>
    </row>
    <row r="613" spans="1:8" x14ac:dyDescent="0.3">
      <c r="A613" s="2" t="s">
        <v>489</v>
      </c>
      <c r="B613" s="2" t="s">
        <v>9</v>
      </c>
      <c r="C613" s="2" t="s">
        <v>282</v>
      </c>
      <c r="D613" s="2" t="s">
        <v>11</v>
      </c>
      <c r="E613" s="39" t="s">
        <v>283</v>
      </c>
      <c r="F613" s="40" t="str">
        <f>DailyCompletionTable[[#This Row],[TABLE_NAME]]&amp;DailyCompletionTable[[#This Row],[PROCESS_DATE]]</f>
        <v>VIPRQBT2021-01-29</v>
      </c>
      <c r="G613" s="41">
        <f>DATE(LEFT(DailyCompletionTable[[#This Row],[PROCESS_DATE]],4),MID(DailyCompletionTable[[#This Row],[PROCESS_DATE]],6,2),MID(DailyCompletionTable[[#This Row],[PROCESS_DATE]],9,2))</f>
        <v>44225</v>
      </c>
      <c r="H61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44224.85670138889</v>
      </c>
    </row>
    <row r="614" spans="1:8" x14ac:dyDescent="0.3">
      <c r="A614" s="2" t="s">
        <v>489</v>
      </c>
      <c r="B614" s="2" t="s">
        <v>9</v>
      </c>
      <c r="C614" s="2" t="s">
        <v>284</v>
      </c>
      <c r="D614" s="2" t="s">
        <v>11</v>
      </c>
      <c r="E614" s="39" t="s">
        <v>285</v>
      </c>
      <c r="F614" s="40" t="str">
        <f>DailyCompletionTable[[#This Row],[TABLE_NAME]]&amp;DailyCompletionTable[[#This Row],[PROCESS_DATE]]</f>
        <v>VIPRQST2021-01-29</v>
      </c>
      <c r="G614" s="41">
        <f>DATE(LEFT(DailyCompletionTable[[#This Row],[PROCESS_DATE]],4),MID(DailyCompletionTable[[#This Row],[PROCESS_DATE]],6,2),MID(DailyCompletionTable[[#This Row],[PROCESS_DATE]],9,2))</f>
        <v>44225</v>
      </c>
      <c r="H61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44224.854710648149</v>
      </c>
    </row>
    <row r="615" spans="1:8" x14ac:dyDescent="0.3">
      <c r="A615" s="2" t="s">
        <v>489</v>
      </c>
      <c r="B615" s="2" t="s">
        <v>9</v>
      </c>
      <c r="C615" s="2" t="s">
        <v>286</v>
      </c>
      <c r="D615" s="2" t="s">
        <v>70</v>
      </c>
      <c r="E615" s="39" t="s">
        <v>571</v>
      </c>
      <c r="F615" s="40" t="str">
        <f>DailyCompletionTable[[#This Row],[TABLE_NAME]]&amp;DailyCompletionTable[[#This Row],[PROCESS_DATE]]</f>
        <v>VIPRTYT2021-01-22</v>
      </c>
      <c r="G615" s="41">
        <f>DATE(LEFT(DailyCompletionTable[[#This Row],[PROCESS_DATE]],4),MID(DailyCompletionTable[[#This Row],[PROCESS_DATE]],6,2),MID(DailyCompletionTable[[#This Row],[PROCESS_DATE]],9,2))</f>
        <v>44218</v>
      </c>
      <c r="H61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44218.230138888888</v>
      </c>
    </row>
    <row r="616" spans="1:8" x14ac:dyDescent="0.3">
      <c r="A616" s="2" t="s">
        <v>489</v>
      </c>
      <c r="B616" s="2" t="s">
        <v>9</v>
      </c>
      <c r="C616" s="2" t="s">
        <v>288</v>
      </c>
      <c r="D616" s="2" t="s">
        <v>11</v>
      </c>
      <c r="E616" s="39" t="s">
        <v>459</v>
      </c>
      <c r="F616" s="40" t="str">
        <f>DailyCompletionTable[[#This Row],[TABLE_NAME]]&amp;DailyCompletionTable[[#This Row],[PROCESS_DATE]]</f>
        <v>VIPSACT2021-01-29</v>
      </c>
      <c r="G616" s="41">
        <f>DATE(LEFT(DailyCompletionTable[[#This Row],[PROCESS_DATE]],4),MID(DailyCompletionTable[[#This Row],[PROCESS_DATE]],6,2),MID(DailyCompletionTable[[#This Row],[PROCESS_DATE]],9,2))</f>
        <v>44225</v>
      </c>
      <c r="H61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44224.858449074076</v>
      </c>
    </row>
    <row r="617" spans="1:8" x14ac:dyDescent="0.3">
      <c r="A617" s="2" t="s">
        <v>489</v>
      </c>
      <c r="B617" s="2" t="s">
        <v>9</v>
      </c>
      <c r="C617" s="2" t="s">
        <v>290</v>
      </c>
      <c r="D617" s="2" t="s">
        <v>11</v>
      </c>
      <c r="E617" s="39" t="s">
        <v>547</v>
      </c>
      <c r="F617" s="40" t="str">
        <f>DailyCompletionTable[[#This Row],[TABLE_NAME]]&amp;DailyCompletionTable[[#This Row],[PROCESS_DATE]]</f>
        <v>VIPSB2T2021-01-29</v>
      </c>
      <c r="G617" s="41">
        <f>DATE(LEFT(DailyCompletionTable[[#This Row],[PROCESS_DATE]],4),MID(DailyCompletionTable[[#This Row],[PROCESS_DATE]],6,2),MID(DailyCompletionTable[[#This Row],[PROCESS_DATE]],9,2))</f>
        <v>44225</v>
      </c>
      <c r="H61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44224.921203703707</v>
      </c>
    </row>
    <row r="618" spans="1:8" x14ac:dyDescent="0.3">
      <c r="A618" s="2" t="s">
        <v>489</v>
      </c>
      <c r="B618" s="2" t="s">
        <v>9</v>
      </c>
      <c r="C618" s="2" t="s">
        <v>291</v>
      </c>
      <c r="D618" s="2" t="s">
        <v>11</v>
      </c>
      <c r="E618" s="39" t="s">
        <v>572</v>
      </c>
      <c r="F618" s="40" t="str">
        <f>DailyCompletionTable[[#This Row],[TABLE_NAME]]&amp;DailyCompletionTable[[#This Row],[PROCESS_DATE]]</f>
        <v>VIPSBBT2021-01-29</v>
      </c>
      <c r="G618" s="41">
        <f>DATE(LEFT(DailyCompletionTable[[#This Row],[PROCESS_DATE]],4),MID(DailyCompletionTable[[#This Row],[PROCESS_DATE]],6,2),MID(DailyCompletionTable[[#This Row],[PROCESS_DATE]],9,2))</f>
        <v>44225</v>
      </c>
      <c r="H61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44224.948263888888</v>
      </c>
    </row>
    <row r="619" spans="1:8" x14ac:dyDescent="0.3">
      <c r="A619" s="2" t="s">
        <v>489</v>
      </c>
      <c r="B619" s="2" t="s">
        <v>9</v>
      </c>
      <c r="C619" s="2" t="s">
        <v>293</v>
      </c>
      <c r="D619" s="2" t="s">
        <v>11</v>
      </c>
      <c r="E619" s="39" t="s">
        <v>547</v>
      </c>
      <c r="F619" s="40" t="str">
        <f>DailyCompletionTable[[#This Row],[TABLE_NAME]]&amp;DailyCompletionTable[[#This Row],[PROCESS_DATE]]</f>
        <v>VIPSBOT2021-01-29</v>
      </c>
      <c r="G619" s="41">
        <f>DATE(LEFT(DailyCompletionTable[[#This Row],[PROCESS_DATE]],4),MID(DailyCompletionTable[[#This Row],[PROCESS_DATE]],6,2),MID(DailyCompletionTable[[#This Row],[PROCESS_DATE]],9,2))</f>
        <v>44225</v>
      </c>
      <c r="H61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44224.921203703707</v>
      </c>
    </row>
    <row r="620" spans="1:8" x14ac:dyDescent="0.3">
      <c r="A620" s="2" t="s">
        <v>489</v>
      </c>
      <c r="B620" s="2" t="s">
        <v>9</v>
      </c>
      <c r="C620" s="2" t="s">
        <v>294</v>
      </c>
      <c r="D620" s="2" t="s">
        <v>11</v>
      </c>
      <c r="E620" s="39" t="s">
        <v>547</v>
      </c>
      <c r="F620" s="40" t="str">
        <f>DailyCompletionTable[[#This Row],[TABLE_NAME]]&amp;DailyCompletionTable[[#This Row],[PROCESS_DATE]]</f>
        <v>VIPSBTT2021-01-29</v>
      </c>
      <c r="G620" s="41">
        <f>DATE(LEFT(DailyCompletionTable[[#This Row],[PROCESS_DATE]],4),MID(DailyCompletionTable[[#This Row],[PROCESS_DATE]],6,2),MID(DailyCompletionTable[[#This Row],[PROCESS_DATE]],9,2))</f>
        <v>44225</v>
      </c>
      <c r="H62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44224.921203703707</v>
      </c>
    </row>
    <row r="621" spans="1:8" x14ac:dyDescent="0.3">
      <c r="A621" s="2" t="s">
        <v>489</v>
      </c>
      <c r="B621" s="2" t="s">
        <v>9</v>
      </c>
      <c r="C621" s="2" t="s">
        <v>295</v>
      </c>
      <c r="D621" s="2" t="s">
        <v>11</v>
      </c>
      <c r="E621" s="39" t="s">
        <v>547</v>
      </c>
      <c r="F621" s="40" t="str">
        <f>DailyCompletionTable[[#This Row],[TABLE_NAME]]&amp;DailyCompletionTable[[#This Row],[PROCESS_DATE]]</f>
        <v>VIPSBUT2021-01-29</v>
      </c>
      <c r="G621" s="41">
        <f>DATE(LEFT(DailyCompletionTable[[#This Row],[PROCESS_DATE]],4),MID(DailyCompletionTable[[#This Row],[PROCESS_DATE]],6,2),MID(DailyCompletionTable[[#This Row],[PROCESS_DATE]],9,2))</f>
        <v>44225</v>
      </c>
      <c r="H62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44224.921203703707</v>
      </c>
    </row>
    <row r="622" spans="1:8" x14ac:dyDescent="0.3">
      <c r="A622" s="2" t="s">
        <v>489</v>
      </c>
      <c r="B622" s="2" t="s">
        <v>9</v>
      </c>
      <c r="C622" s="2" t="s">
        <v>296</v>
      </c>
      <c r="D622" s="2" t="s">
        <v>11</v>
      </c>
      <c r="E622" s="39" t="s">
        <v>549</v>
      </c>
      <c r="F622" s="40" t="str">
        <f>DailyCompletionTable[[#This Row],[TABLE_NAME]]&amp;DailyCompletionTable[[#This Row],[PROCESS_DATE]]</f>
        <v>VIPSCHT2021-01-29</v>
      </c>
      <c r="G622" s="41">
        <f>DATE(LEFT(DailyCompletionTable[[#This Row],[PROCESS_DATE]],4),MID(DailyCompletionTable[[#This Row],[PROCESS_DATE]],6,2),MID(DailyCompletionTable[[#This Row],[PROCESS_DATE]],9,2))</f>
        <v>44225</v>
      </c>
      <c r="H62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44224.847557870373</v>
      </c>
    </row>
    <row r="623" spans="1:8" x14ac:dyDescent="0.3">
      <c r="A623" s="2" t="s">
        <v>489</v>
      </c>
      <c r="B623" s="2" t="s">
        <v>9</v>
      </c>
      <c r="C623" s="2" t="s">
        <v>297</v>
      </c>
      <c r="D623" s="2" t="s">
        <v>11</v>
      </c>
      <c r="E623" s="39" t="s">
        <v>459</v>
      </c>
      <c r="F623" s="40" t="str">
        <f>DailyCompletionTable[[#This Row],[TABLE_NAME]]&amp;DailyCompletionTable[[#This Row],[PROCESS_DATE]]</f>
        <v>VIPSEQT2021-01-29</v>
      </c>
      <c r="G623" s="41">
        <f>DATE(LEFT(DailyCompletionTable[[#This Row],[PROCESS_DATE]],4),MID(DailyCompletionTable[[#This Row],[PROCESS_DATE]],6,2),MID(DailyCompletionTable[[#This Row],[PROCESS_DATE]],9,2))</f>
        <v>44225</v>
      </c>
      <c r="H62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44224.858449074076</v>
      </c>
    </row>
    <row r="624" spans="1:8" x14ac:dyDescent="0.3">
      <c r="A624" s="2" t="s">
        <v>489</v>
      </c>
      <c r="B624" s="2" t="s">
        <v>9</v>
      </c>
      <c r="C624" s="2" t="s">
        <v>298</v>
      </c>
      <c r="D624" s="2" t="s">
        <v>11</v>
      </c>
      <c r="E624" s="39" t="s">
        <v>573</v>
      </c>
      <c r="F624" s="40" t="str">
        <f>DailyCompletionTable[[#This Row],[TABLE_NAME]]&amp;DailyCompletionTable[[#This Row],[PROCESS_DATE]]</f>
        <v>VIPSVPT2021-01-29</v>
      </c>
      <c r="G624" s="41">
        <f>DATE(LEFT(DailyCompletionTable[[#This Row],[PROCESS_DATE]],4),MID(DailyCompletionTable[[#This Row],[PROCESS_DATE]],6,2),MID(DailyCompletionTable[[#This Row],[PROCESS_DATE]],9,2))</f>
        <v>44225</v>
      </c>
      <c r="H62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44225.090069444443</v>
      </c>
    </row>
    <row r="625" spans="1:8" x14ac:dyDescent="0.3">
      <c r="A625" s="2" t="s">
        <v>489</v>
      </c>
      <c r="B625" s="2" t="s">
        <v>9</v>
      </c>
      <c r="C625" s="2" t="s">
        <v>300</v>
      </c>
      <c r="D625" s="2" t="s">
        <v>11</v>
      </c>
      <c r="E625" s="39" t="s">
        <v>574</v>
      </c>
      <c r="F625" s="40" t="str">
        <f>DailyCompletionTable[[#This Row],[TABLE_NAME]]&amp;DailyCompletionTable[[#This Row],[PROCESS_DATE]]</f>
        <v>VIPTAST2021-01-29</v>
      </c>
      <c r="G625" s="41">
        <f>DATE(LEFT(DailyCompletionTable[[#This Row],[PROCESS_DATE]],4),MID(DailyCompletionTable[[#This Row],[PROCESS_DATE]],6,2),MID(DailyCompletionTable[[#This Row],[PROCESS_DATE]],9,2))</f>
        <v>44225</v>
      </c>
      <c r="H62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44224.962800925925</v>
      </c>
    </row>
    <row r="626" spans="1:8" x14ac:dyDescent="0.3">
      <c r="A626" s="2" t="s">
        <v>489</v>
      </c>
      <c r="B626" s="2" t="s">
        <v>9</v>
      </c>
      <c r="C626" s="2" t="s">
        <v>302</v>
      </c>
      <c r="D626" s="2" t="s">
        <v>11</v>
      </c>
      <c r="E626" s="39" t="s">
        <v>575</v>
      </c>
      <c r="F626" s="40" t="str">
        <f>DailyCompletionTable[[#This Row],[TABLE_NAME]]&amp;DailyCompletionTable[[#This Row],[PROCESS_DATE]]</f>
        <v>VIPTAXT2021-01-29</v>
      </c>
      <c r="G626" s="41">
        <f>DATE(LEFT(DailyCompletionTable[[#This Row],[PROCESS_DATE]],4),MID(DailyCompletionTable[[#This Row],[PROCESS_DATE]],6,2),MID(DailyCompletionTable[[#This Row],[PROCESS_DATE]],9,2))</f>
        <v>44225</v>
      </c>
      <c r="H62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44224.947800925926</v>
      </c>
    </row>
    <row r="627" spans="1:8" x14ac:dyDescent="0.3">
      <c r="A627" s="2" t="s">
        <v>489</v>
      </c>
      <c r="B627" s="2" t="s">
        <v>9</v>
      </c>
      <c r="C627" s="2" t="s">
        <v>304</v>
      </c>
      <c r="D627" s="2" t="s">
        <v>11</v>
      </c>
      <c r="E627" s="39" t="s">
        <v>576</v>
      </c>
      <c r="F627" s="40" t="str">
        <f>DailyCompletionTable[[#This Row],[TABLE_NAME]]&amp;DailyCompletionTable[[#This Row],[PROCESS_DATE]]</f>
        <v>VIPTBRT2021-01-29</v>
      </c>
      <c r="G627" s="41">
        <f>DATE(LEFT(DailyCompletionTable[[#This Row],[PROCESS_DATE]],4),MID(DailyCompletionTable[[#This Row],[PROCESS_DATE]],6,2),MID(DailyCompletionTable[[#This Row],[PROCESS_DATE]],9,2))</f>
        <v>44225</v>
      </c>
      <c r="H62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44224.962754629632</v>
      </c>
    </row>
    <row r="628" spans="1:8" x14ac:dyDescent="0.3">
      <c r="A628" s="2" t="s">
        <v>489</v>
      </c>
      <c r="B628" s="2" t="s">
        <v>9</v>
      </c>
      <c r="C628" s="2" t="s">
        <v>306</v>
      </c>
      <c r="D628" s="2" t="s">
        <v>11</v>
      </c>
      <c r="E628" s="39" t="s">
        <v>577</v>
      </c>
      <c r="F628" s="40" t="str">
        <f>DailyCompletionTable[[#This Row],[TABLE_NAME]]&amp;DailyCompletionTable[[#This Row],[PROCESS_DATE]]</f>
        <v>VIPTBUT2021-01-29</v>
      </c>
      <c r="G628" s="41">
        <f>DATE(LEFT(DailyCompletionTable[[#This Row],[PROCESS_DATE]],4),MID(DailyCompletionTable[[#This Row],[PROCESS_DATE]],6,2),MID(DailyCompletionTable[[#This Row],[PROCESS_DATE]],9,2))</f>
        <v>44225</v>
      </c>
      <c r="H62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44224.96266203704</v>
      </c>
    </row>
    <row r="629" spans="1:8" x14ac:dyDescent="0.3">
      <c r="A629" s="2" t="s">
        <v>489</v>
      </c>
      <c r="B629" s="2" t="s">
        <v>9</v>
      </c>
      <c r="C629" s="2" t="s">
        <v>308</v>
      </c>
      <c r="D629" s="2" t="s">
        <v>11</v>
      </c>
      <c r="E629" s="39" t="s">
        <v>578</v>
      </c>
      <c r="F629" s="40" t="str">
        <f>DailyCompletionTable[[#This Row],[TABLE_NAME]]&amp;DailyCompletionTable[[#This Row],[PROCESS_DATE]]</f>
        <v>VIPTCCT2021-01-29</v>
      </c>
      <c r="G629" s="41">
        <f>DATE(LEFT(DailyCompletionTable[[#This Row],[PROCESS_DATE]],4),MID(DailyCompletionTable[[#This Row],[PROCESS_DATE]],6,2),MID(DailyCompletionTable[[#This Row],[PROCESS_DATE]],9,2))</f>
        <v>44225</v>
      </c>
      <c r="H62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44224.962511574071</v>
      </c>
    </row>
    <row r="630" spans="1:8" x14ac:dyDescent="0.3">
      <c r="A630" s="2" t="s">
        <v>489</v>
      </c>
      <c r="B630" s="2" t="s">
        <v>9</v>
      </c>
      <c r="C630" s="2" t="s">
        <v>310</v>
      </c>
      <c r="D630" s="2" t="s">
        <v>11</v>
      </c>
      <c r="E630" s="39" t="s">
        <v>578</v>
      </c>
      <c r="F630" s="40" t="str">
        <f>DailyCompletionTable[[#This Row],[TABLE_NAME]]&amp;DailyCompletionTable[[#This Row],[PROCESS_DATE]]</f>
        <v>VIPTCNT2021-01-29</v>
      </c>
      <c r="G630" s="41">
        <f>DATE(LEFT(DailyCompletionTable[[#This Row],[PROCESS_DATE]],4),MID(DailyCompletionTable[[#This Row],[PROCESS_DATE]],6,2),MID(DailyCompletionTable[[#This Row],[PROCESS_DATE]],9,2))</f>
        <v>44225</v>
      </c>
      <c r="H63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44224.962511574071</v>
      </c>
    </row>
    <row r="631" spans="1:8" x14ac:dyDescent="0.3">
      <c r="A631" s="2" t="s">
        <v>489</v>
      </c>
      <c r="B631" s="2" t="s">
        <v>9</v>
      </c>
      <c r="C631" s="2" t="s">
        <v>312</v>
      </c>
      <c r="D631" s="2" t="s">
        <v>11</v>
      </c>
      <c r="E631" s="39" t="s">
        <v>579</v>
      </c>
      <c r="F631" s="40" t="str">
        <f>DailyCompletionTable[[#This Row],[TABLE_NAME]]&amp;DailyCompletionTable[[#This Row],[PROCESS_DATE]]</f>
        <v>VIPTCST2021-01-29</v>
      </c>
      <c r="G631" s="41">
        <f>DATE(LEFT(DailyCompletionTable[[#This Row],[PROCESS_DATE]],4),MID(DailyCompletionTable[[#This Row],[PROCESS_DATE]],6,2),MID(DailyCompletionTable[[#This Row],[PROCESS_DATE]],9,2))</f>
        <v>44225</v>
      </c>
      <c r="H63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44224.962430555555</v>
      </c>
    </row>
    <row r="632" spans="1:8" x14ac:dyDescent="0.3">
      <c r="A632" s="2" t="s">
        <v>489</v>
      </c>
      <c r="B632" s="2" t="s">
        <v>9</v>
      </c>
      <c r="C632" s="2" t="s">
        <v>314</v>
      </c>
      <c r="D632" s="2" t="s">
        <v>11</v>
      </c>
      <c r="E632" s="39" t="s">
        <v>580</v>
      </c>
      <c r="F632" s="40" t="str">
        <f>DailyCompletionTable[[#This Row],[TABLE_NAME]]&amp;DailyCompletionTable[[#This Row],[PROCESS_DATE]]</f>
        <v>VIPTDFT2021-01-29</v>
      </c>
      <c r="G632" s="41">
        <f>DATE(LEFT(DailyCompletionTable[[#This Row],[PROCESS_DATE]],4),MID(DailyCompletionTable[[#This Row],[PROCESS_DATE]],6,2),MID(DailyCompletionTable[[#This Row],[PROCESS_DATE]],9,2))</f>
        <v>44225</v>
      </c>
      <c r="H63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44224.962696759256</v>
      </c>
    </row>
    <row r="633" spans="1:8" x14ac:dyDescent="0.3">
      <c r="A633" s="2" t="s">
        <v>489</v>
      </c>
      <c r="B633" s="2" t="s">
        <v>9</v>
      </c>
      <c r="C633" s="2" t="s">
        <v>316</v>
      </c>
      <c r="D633" s="2" t="s">
        <v>11</v>
      </c>
      <c r="E633" s="39" t="s">
        <v>581</v>
      </c>
      <c r="F633" s="40" t="str">
        <f>DailyCompletionTable[[#This Row],[TABLE_NAME]]&amp;DailyCompletionTable[[#This Row],[PROCESS_DATE]]</f>
        <v>VIPTDRT2021-01-29</v>
      </c>
      <c r="G633" s="41">
        <f>DATE(LEFT(DailyCompletionTable[[#This Row],[PROCESS_DATE]],4),MID(DailyCompletionTable[[#This Row],[PROCESS_DATE]],6,2),MID(DailyCompletionTable[[#This Row],[PROCESS_DATE]],9,2))</f>
        <v>44225</v>
      </c>
      <c r="H63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44224.962256944447</v>
      </c>
    </row>
    <row r="634" spans="1:8" x14ac:dyDescent="0.3">
      <c r="A634" s="2" t="s">
        <v>489</v>
      </c>
      <c r="B634" s="2" t="s">
        <v>9</v>
      </c>
      <c r="C634" s="2" t="s">
        <v>318</v>
      </c>
      <c r="D634" s="2" t="s">
        <v>11</v>
      </c>
      <c r="E634" s="39" t="s">
        <v>582</v>
      </c>
      <c r="F634" s="40" t="str">
        <f>DailyCompletionTable[[#This Row],[TABLE_NAME]]&amp;DailyCompletionTable[[#This Row],[PROCESS_DATE]]</f>
        <v>VIPTECT2021-01-29</v>
      </c>
      <c r="G634" s="41">
        <f>DATE(LEFT(DailyCompletionTable[[#This Row],[PROCESS_DATE]],4),MID(DailyCompletionTable[[#This Row],[PROCESS_DATE]],6,2),MID(DailyCompletionTable[[#This Row],[PROCESS_DATE]],9,2))</f>
        <v>44225</v>
      </c>
      <c r="H63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44224.962372685186</v>
      </c>
    </row>
    <row r="635" spans="1:8" x14ac:dyDescent="0.3">
      <c r="A635" s="2" t="s">
        <v>489</v>
      </c>
      <c r="B635" s="2" t="s">
        <v>9</v>
      </c>
      <c r="C635" s="2" t="s">
        <v>320</v>
      </c>
      <c r="D635" s="2" t="s">
        <v>11</v>
      </c>
      <c r="E635" s="39" t="s">
        <v>321</v>
      </c>
      <c r="F635" s="40" t="str">
        <f>DailyCompletionTable[[#This Row],[TABLE_NAME]]&amp;DailyCompletionTable[[#This Row],[PROCESS_DATE]]</f>
        <v>VIPTFCT2021-01-29</v>
      </c>
      <c r="G635" s="41">
        <f>DATE(LEFT(DailyCompletionTable[[#This Row],[PROCESS_DATE]],4),MID(DailyCompletionTable[[#This Row],[PROCESS_DATE]],6,2),MID(DailyCompletionTable[[#This Row],[PROCESS_DATE]],9,2))</f>
        <v>44225</v>
      </c>
      <c r="H63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44224.973611111112</v>
      </c>
    </row>
    <row r="636" spans="1:8" x14ac:dyDescent="0.3">
      <c r="A636" s="2" t="s">
        <v>489</v>
      </c>
      <c r="B636" s="2" t="s">
        <v>9</v>
      </c>
      <c r="C636" s="2" t="s">
        <v>322</v>
      </c>
      <c r="D636" s="2" t="s">
        <v>11</v>
      </c>
      <c r="E636" s="39" t="s">
        <v>583</v>
      </c>
      <c r="F636" s="40" t="str">
        <f>DailyCompletionTable[[#This Row],[TABLE_NAME]]&amp;DailyCompletionTable[[#This Row],[PROCESS_DATE]]</f>
        <v>VIPTHDT2021-01-29</v>
      </c>
      <c r="G636" s="41">
        <f>DATE(LEFT(DailyCompletionTable[[#This Row],[PROCESS_DATE]],4),MID(DailyCompletionTable[[#This Row],[PROCESS_DATE]],6,2),MID(DailyCompletionTable[[#This Row],[PROCESS_DATE]],9,2))</f>
        <v>44225</v>
      </c>
      <c r="H63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44224.962268518517</v>
      </c>
    </row>
    <row r="637" spans="1:8" x14ac:dyDescent="0.3">
      <c r="A637" s="2" t="s">
        <v>489</v>
      </c>
      <c r="B637" s="2" t="s">
        <v>9</v>
      </c>
      <c r="C637" s="2" t="s">
        <v>324</v>
      </c>
      <c r="D637" s="2" t="s">
        <v>11</v>
      </c>
      <c r="E637" s="39" t="s">
        <v>584</v>
      </c>
      <c r="F637" s="40" t="str">
        <f>DailyCompletionTable[[#This Row],[TABLE_NAME]]&amp;DailyCompletionTable[[#This Row],[PROCESS_DATE]]</f>
        <v>VIPTHRT2021-01-29</v>
      </c>
      <c r="G637" s="41">
        <f>DATE(LEFT(DailyCompletionTable[[#This Row],[PROCESS_DATE]],4),MID(DailyCompletionTable[[#This Row],[PROCESS_DATE]],6,2),MID(DailyCompletionTable[[#This Row],[PROCESS_DATE]],9,2))</f>
        <v>44225</v>
      </c>
      <c r="H63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44224.962534722225</v>
      </c>
    </row>
    <row r="638" spans="1:8" x14ac:dyDescent="0.3">
      <c r="A638" s="2" t="s">
        <v>489</v>
      </c>
      <c r="B638" s="2" t="s">
        <v>9</v>
      </c>
      <c r="C638" s="2" t="s">
        <v>326</v>
      </c>
      <c r="D638" s="2" t="s">
        <v>11</v>
      </c>
      <c r="E638" s="39" t="s">
        <v>581</v>
      </c>
      <c r="F638" s="40" t="str">
        <f>DailyCompletionTable[[#This Row],[TABLE_NAME]]&amp;DailyCompletionTable[[#This Row],[PROCESS_DATE]]</f>
        <v>VIPTHVT2021-01-29</v>
      </c>
      <c r="G638" s="41">
        <f>DATE(LEFT(DailyCompletionTable[[#This Row],[PROCESS_DATE]],4),MID(DailyCompletionTable[[#This Row],[PROCESS_DATE]],6,2),MID(DailyCompletionTable[[#This Row],[PROCESS_DATE]],9,2))</f>
        <v>44225</v>
      </c>
      <c r="H63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44224.962256944447</v>
      </c>
    </row>
    <row r="639" spans="1:8" x14ac:dyDescent="0.3">
      <c r="A639" s="2" t="s">
        <v>489</v>
      </c>
      <c r="B639" s="2" t="s">
        <v>9</v>
      </c>
      <c r="C639" s="2" t="s">
        <v>327</v>
      </c>
      <c r="D639" s="2" t="s">
        <v>11</v>
      </c>
      <c r="E639" s="39" t="s">
        <v>579</v>
      </c>
      <c r="F639" s="40" t="str">
        <f>DailyCompletionTable[[#This Row],[TABLE_NAME]]&amp;DailyCompletionTable[[#This Row],[PROCESS_DATE]]</f>
        <v>VIPTLDT2021-01-29</v>
      </c>
      <c r="G639" s="41">
        <f>DATE(LEFT(DailyCompletionTable[[#This Row],[PROCESS_DATE]],4),MID(DailyCompletionTable[[#This Row],[PROCESS_DATE]],6,2),MID(DailyCompletionTable[[#This Row],[PROCESS_DATE]],9,2))</f>
        <v>44225</v>
      </c>
      <c r="H63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44224.962430555555</v>
      </c>
    </row>
    <row r="640" spans="1:8" x14ac:dyDescent="0.3">
      <c r="A640" s="2" t="s">
        <v>489</v>
      </c>
      <c r="B640" s="2" t="s">
        <v>9</v>
      </c>
      <c r="C640" s="2" t="s">
        <v>329</v>
      </c>
      <c r="D640" s="2" t="s">
        <v>11</v>
      </c>
      <c r="E640" s="39" t="s">
        <v>585</v>
      </c>
      <c r="F640" s="40" t="str">
        <f>DailyCompletionTable[[#This Row],[TABLE_NAME]]&amp;DailyCompletionTable[[#This Row],[PROCESS_DATE]]</f>
        <v>VIPTLST2021-01-29</v>
      </c>
      <c r="G640" s="41">
        <f>DATE(LEFT(DailyCompletionTable[[#This Row],[PROCESS_DATE]],4),MID(DailyCompletionTable[[#This Row],[PROCESS_DATE]],6,2),MID(DailyCompletionTable[[#This Row],[PROCESS_DATE]],9,2))</f>
        <v>44225</v>
      </c>
      <c r="H64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44224.962604166663</v>
      </c>
    </row>
    <row r="641" spans="1:8" x14ac:dyDescent="0.3">
      <c r="A641" s="2" t="s">
        <v>489</v>
      </c>
      <c r="B641" s="2" t="s">
        <v>9</v>
      </c>
      <c r="C641" s="2" t="s">
        <v>331</v>
      </c>
      <c r="D641" s="2" t="s">
        <v>11</v>
      </c>
      <c r="E641" s="39" t="s">
        <v>578</v>
      </c>
      <c r="F641" s="40" t="str">
        <f>DailyCompletionTable[[#This Row],[TABLE_NAME]]&amp;DailyCompletionTable[[#This Row],[PROCESS_DATE]]</f>
        <v>VIPTPBT2021-01-29</v>
      </c>
      <c r="G641" s="41">
        <f>DATE(LEFT(DailyCompletionTable[[#This Row],[PROCESS_DATE]],4),MID(DailyCompletionTable[[#This Row],[PROCESS_DATE]],6,2),MID(DailyCompletionTable[[#This Row],[PROCESS_DATE]],9,2))</f>
        <v>44225</v>
      </c>
      <c r="H64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44224.962511574071</v>
      </c>
    </row>
    <row r="642" spans="1:8" x14ac:dyDescent="0.3">
      <c r="A642" s="2" t="s">
        <v>489</v>
      </c>
      <c r="B642" s="2" t="s">
        <v>9</v>
      </c>
      <c r="C642" s="2" t="s">
        <v>332</v>
      </c>
      <c r="D642" s="2" t="s">
        <v>11</v>
      </c>
      <c r="E642" s="39" t="s">
        <v>586</v>
      </c>
      <c r="F642" s="40" t="str">
        <f>DailyCompletionTable[[#This Row],[TABLE_NAME]]&amp;DailyCompletionTable[[#This Row],[PROCESS_DATE]]</f>
        <v>VIPTPMT2021-01-29</v>
      </c>
      <c r="G642" s="41">
        <f>DATE(LEFT(DailyCompletionTable[[#This Row],[PROCESS_DATE]],4),MID(DailyCompletionTable[[#This Row],[PROCESS_DATE]],6,2),MID(DailyCompletionTable[[#This Row],[PROCESS_DATE]],9,2))</f>
        <v>44225</v>
      </c>
      <c r="H64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44224.962418981479</v>
      </c>
    </row>
    <row r="643" spans="1:8" x14ac:dyDescent="0.3">
      <c r="A643" s="2" t="s">
        <v>489</v>
      </c>
      <c r="B643" s="2" t="s">
        <v>9</v>
      </c>
      <c r="C643" s="2" t="s">
        <v>334</v>
      </c>
      <c r="D643" s="2" t="s">
        <v>11</v>
      </c>
      <c r="E643" s="39" t="s">
        <v>579</v>
      </c>
      <c r="F643" s="40" t="str">
        <f>DailyCompletionTable[[#This Row],[TABLE_NAME]]&amp;DailyCompletionTable[[#This Row],[PROCESS_DATE]]</f>
        <v>VIPTPRT2021-01-29</v>
      </c>
      <c r="G643" s="41">
        <f>DATE(LEFT(DailyCompletionTable[[#This Row],[PROCESS_DATE]],4),MID(DailyCompletionTable[[#This Row],[PROCESS_DATE]],6,2),MID(DailyCompletionTable[[#This Row],[PROCESS_DATE]],9,2))</f>
        <v>44225</v>
      </c>
      <c r="H64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44224.962430555555</v>
      </c>
    </row>
    <row r="644" spans="1:8" x14ac:dyDescent="0.3">
      <c r="A644" s="2" t="s">
        <v>489</v>
      </c>
      <c r="B644" s="2" t="s">
        <v>9</v>
      </c>
      <c r="C644" s="2" t="s">
        <v>336</v>
      </c>
      <c r="D644" s="2" t="s">
        <v>11</v>
      </c>
      <c r="E644" s="39" t="s">
        <v>587</v>
      </c>
      <c r="F644" s="40" t="str">
        <f>DailyCompletionTable[[#This Row],[TABLE_NAME]]&amp;DailyCompletionTable[[#This Row],[PROCESS_DATE]]</f>
        <v>VIPTSCT2021-01-29</v>
      </c>
      <c r="G644" s="41">
        <f>DATE(LEFT(DailyCompletionTable[[#This Row],[PROCESS_DATE]],4),MID(DailyCompletionTable[[#This Row],[PROCESS_DATE]],6,2),MID(DailyCompletionTable[[#This Row],[PROCESS_DATE]],9,2))</f>
        <v>44225</v>
      </c>
      <c r="H64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44224.96234953704</v>
      </c>
    </row>
    <row r="645" spans="1:8" x14ac:dyDescent="0.3">
      <c r="A645" s="2" t="s">
        <v>489</v>
      </c>
      <c r="B645" s="2" t="s">
        <v>9</v>
      </c>
      <c r="C645" s="2" t="s">
        <v>338</v>
      </c>
      <c r="D645" s="2" t="s">
        <v>11</v>
      </c>
      <c r="E645" s="39" t="s">
        <v>588</v>
      </c>
      <c r="F645" s="40" t="str">
        <f>DailyCompletionTable[[#This Row],[TABLE_NAME]]&amp;DailyCompletionTable[[#This Row],[PROCESS_DATE]]</f>
        <v>VIPTSFT2021-01-29</v>
      </c>
      <c r="G645" s="41">
        <f>DATE(LEFT(DailyCompletionTable[[#This Row],[PROCESS_DATE]],4),MID(DailyCompletionTable[[#This Row],[PROCESS_DATE]],6,2),MID(DailyCompletionTable[[#This Row],[PROCESS_DATE]],9,2))</f>
        <v>44225</v>
      </c>
      <c r="H64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44224.962685185186</v>
      </c>
    </row>
    <row r="646" spans="1:8" x14ac:dyDescent="0.3">
      <c r="A646" s="2" t="s">
        <v>489</v>
      </c>
      <c r="B646" s="2" t="s">
        <v>9</v>
      </c>
      <c r="C646" s="2" t="s">
        <v>340</v>
      </c>
      <c r="D646" s="2" t="s">
        <v>11</v>
      </c>
      <c r="E646" s="39" t="s">
        <v>589</v>
      </c>
      <c r="F646" s="40" t="str">
        <f>DailyCompletionTable[[#This Row],[TABLE_NAME]]&amp;DailyCompletionTable[[#This Row],[PROCESS_DATE]]</f>
        <v>VIPTSGT2021-01-29</v>
      </c>
      <c r="G646" s="41">
        <f>DATE(LEFT(DailyCompletionTable[[#This Row],[PROCESS_DATE]],4),MID(DailyCompletionTable[[#This Row],[PROCESS_DATE]],6,2),MID(DailyCompletionTable[[#This Row],[PROCESS_DATE]],9,2))</f>
        <v>44225</v>
      </c>
      <c r="H64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44224.962592592594</v>
      </c>
    </row>
    <row r="647" spans="1:8" x14ac:dyDescent="0.3">
      <c r="A647" s="2" t="s">
        <v>489</v>
      </c>
      <c r="B647" s="2" t="s">
        <v>9</v>
      </c>
      <c r="C647" s="2" t="s">
        <v>341</v>
      </c>
      <c r="D647" s="2" t="s">
        <v>11</v>
      </c>
      <c r="E647" s="39" t="s">
        <v>342</v>
      </c>
      <c r="F647" s="40" t="str">
        <f>DailyCompletionTable[[#This Row],[TABLE_NAME]]&amp;DailyCompletionTable[[#This Row],[PROCESS_DATE]]</f>
        <v>VIPTSHT2021-01-29</v>
      </c>
      <c r="G647" s="41">
        <f>DATE(LEFT(DailyCompletionTable[[#This Row],[PROCESS_DATE]],4),MID(DailyCompletionTable[[#This Row],[PROCESS_DATE]],6,2),MID(DailyCompletionTable[[#This Row],[PROCESS_DATE]],9,2))</f>
        <v>44225</v>
      </c>
      <c r="H64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648" spans="1:8" x14ac:dyDescent="0.3">
      <c r="A648" s="2" t="s">
        <v>489</v>
      </c>
      <c r="B648" s="2" t="s">
        <v>9</v>
      </c>
      <c r="C648" s="2" t="s">
        <v>343</v>
      </c>
      <c r="D648" s="2" t="s">
        <v>11</v>
      </c>
      <c r="E648" s="39" t="s">
        <v>590</v>
      </c>
      <c r="F648" s="40" t="str">
        <f>DailyCompletionTable[[#This Row],[TABLE_NAME]]&amp;DailyCompletionTable[[#This Row],[PROCESS_DATE]]</f>
        <v>VIPTSKT2021-01-29</v>
      </c>
      <c r="G648" s="41">
        <f>DATE(LEFT(DailyCompletionTable[[#This Row],[PROCESS_DATE]],4),MID(DailyCompletionTable[[#This Row],[PROCESS_DATE]],6,2),MID(DailyCompletionTable[[#This Row],[PROCESS_DATE]],9,2))</f>
        <v>44225</v>
      </c>
      <c r="H64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44224.96261574074</v>
      </c>
    </row>
    <row r="649" spans="1:8" x14ac:dyDescent="0.3">
      <c r="A649" s="2" t="s">
        <v>489</v>
      </c>
      <c r="B649" s="2" t="s">
        <v>9</v>
      </c>
      <c r="C649" s="2" t="s">
        <v>345</v>
      </c>
      <c r="D649" s="2" t="s">
        <v>11</v>
      </c>
      <c r="E649" s="39" t="s">
        <v>414</v>
      </c>
      <c r="F649" s="40" t="str">
        <f>DailyCompletionTable[[#This Row],[TABLE_NAME]]&amp;DailyCompletionTable[[#This Row],[PROCESS_DATE]]</f>
        <v>VIPTSLT2021-01-29</v>
      </c>
      <c r="G649" s="41">
        <f>DATE(LEFT(DailyCompletionTable[[#This Row],[PROCESS_DATE]],4),MID(DailyCompletionTable[[#This Row],[PROCESS_DATE]],6,2),MID(DailyCompletionTable[[#This Row],[PROCESS_DATE]],9,2))</f>
        <v>44225</v>
      </c>
      <c r="H64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44224.962835648148</v>
      </c>
    </row>
    <row r="650" spans="1:8" x14ac:dyDescent="0.3">
      <c r="A650" s="2" t="s">
        <v>489</v>
      </c>
      <c r="B650" s="2" t="s">
        <v>9</v>
      </c>
      <c r="C650" s="2" t="s">
        <v>347</v>
      </c>
      <c r="D650" s="2" t="s">
        <v>11</v>
      </c>
      <c r="E650" s="39" t="s">
        <v>587</v>
      </c>
      <c r="F650" s="40" t="str">
        <f>DailyCompletionTable[[#This Row],[TABLE_NAME]]&amp;DailyCompletionTable[[#This Row],[PROCESS_DATE]]</f>
        <v>VIPTSRT2021-01-29</v>
      </c>
      <c r="G650" s="41">
        <f>DATE(LEFT(DailyCompletionTable[[#This Row],[PROCESS_DATE]],4),MID(DailyCompletionTable[[#This Row],[PROCESS_DATE]],6,2),MID(DailyCompletionTable[[#This Row],[PROCESS_DATE]],9,2))</f>
        <v>44225</v>
      </c>
      <c r="H65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44224.96234953704</v>
      </c>
    </row>
    <row r="651" spans="1:8" x14ac:dyDescent="0.3">
      <c r="A651" s="2" t="s">
        <v>489</v>
      </c>
      <c r="B651" s="2" t="s">
        <v>9</v>
      </c>
      <c r="C651" s="2" t="s">
        <v>349</v>
      </c>
      <c r="D651" s="2" t="s">
        <v>11</v>
      </c>
      <c r="E651" s="39" t="s">
        <v>342</v>
      </c>
      <c r="F651" s="40" t="str">
        <f>DailyCompletionTable[[#This Row],[TABLE_NAME]]&amp;DailyCompletionTable[[#This Row],[PROCESS_DATE]]</f>
        <v>VIPTSST2021-01-29</v>
      </c>
      <c r="G651" s="41">
        <f>DATE(LEFT(DailyCompletionTable[[#This Row],[PROCESS_DATE]],4),MID(DailyCompletionTable[[#This Row],[PROCESS_DATE]],6,2),MID(DailyCompletionTable[[#This Row],[PROCESS_DATE]],9,2))</f>
        <v>44225</v>
      </c>
      <c r="H65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652" spans="1:8" x14ac:dyDescent="0.3">
      <c r="A652" s="2" t="s">
        <v>489</v>
      </c>
      <c r="B652" s="2" t="s">
        <v>9</v>
      </c>
      <c r="C652" s="2" t="s">
        <v>350</v>
      </c>
      <c r="D652" s="2" t="s">
        <v>11</v>
      </c>
      <c r="E652" s="39" t="s">
        <v>591</v>
      </c>
      <c r="F652" s="40" t="str">
        <f>DailyCompletionTable[[#This Row],[TABLE_NAME]]&amp;DailyCompletionTable[[#This Row],[PROCESS_DATE]]</f>
        <v>VIPTSTT2021-01-29</v>
      </c>
      <c r="G652" s="41">
        <f>DATE(LEFT(DailyCompletionTable[[#This Row],[PROCESS_DATE]],4),MID(DailyCompletionTable[[#This Row],[PROCESS_DATE]],6,2),MID(DailyCompletionTable[[#This Row],[PROCESS_DATE]],9,2))</f>
        <v>44225</v>
      </c>
      <c r="H65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44224.977083333331</v>
      </c>
    </row>
    <row r="653" spans="1:8" x14ac:dyDescent="0.3">
      <c r="A653" s="2" t="s">
        <v>489</v>
      </c>
      <c r="B653" s="2" t="s">
        <v>9</v>
      </c>
      <c r="C653" s="2" t="s">
        <v>352</v>
      </c>
      <c r="D653" s="2" t="s">
        <v>11</v>
      </c>
      <c r="E653" s="39" t="s">
        <v>592</v>
      </c>
      <c r="F653" s="40" t="str">
        <f>DailyCompletionTable[[#This Row],[TABLE_NAME]]&amp;DailyCompletionTable[[#This Row],[PROCESS_DATE]]</f>
        <v>VIPTTLT2021-01-29</v>
      </c>
      <c r="G653" s="41">
        <f>DATE(LEFT(DailyCompletionTable[[#This Row],[PROCESS_DATE]],4),MID(DailyCompletionTable[[#This Row],[PROCESS_DATE]],6,2),MID(DailyCompletionTable[[#This Row],[PROCESS_DATE]],9,2))</f>
        <v>44225</v>
      </c>
      <c r="H65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44224.962337962963</v>
      </c>
    </row>
    <row r="654" spans="1:8" x14ac:dyDescent="0.3">
      <c r="A654" s="2" t="s">
        <v>489</v>
      </c>
      <c r="B654" s="2" t="s">
        <v>9</v>
      </c>
      <c r="C654" s="2" t="s">
        <v>593</v>
      </c>
      <c r="D654" s="2" t="s">
        <v>11</v>
      </c>
      <c r="E654" s="39" t="s">
        <v>594</v>
      </c>
      <c r="F654" s="40" t="str">
        <f>DailyCompletionTable[[#This Row],[TABLE_NAME]]&amp;DailyCompletionTable[[#This Row],[PROCESS_DATE]]</f>
        <v>VIPTTST2021-01-29</v>
      </c>
      <c r="G654" s="41">
        <f>DATE(LEFT(DailyCompletionTable[[#This Row],[PROCESS_DATE]],4),MID(DailyCompletionTable[[#This Row],[PROCESS_DATE]],6,2),MID(DailyCompletionTable[[#This Row],[PROCESS_DATE]],9,2))</f>
        <v>44225</v>
      </c>
      <c r="H654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44224.876226851855</v>
      </c>
    </row>
    <row r="655" spans="1:8" x14ac:dyDescent="0.3">
      <c r="A655" s="2" t="s">
        <v>489</v>
      </c>
      <c r="B655" s="2" t="s">
        <v>9</v>
      </c>
      <c r="C655" s="2" t="s">
        <v>354</v>
      </c>
      <c r="D655" s="2" t="s">
        <v>11</v>
      </c>
      <c r="E655" s="39" t="s">
        <v>342</v>
      </c>
      <c r="F655" s="40" t="str">
        <f>DailyCompletionTable[[#This Row],[TABLE_NAME]]&amp;DailyCompletionTable[[#This Row],[PROCESS_DATE]]</f>
        <v>VIPTUPT2021-01-29</v>
      </c>
      <c r="G655" s="41">
        <f>DATE(LEFT(DailyCompletionTable[[#This Row],[PROCESS_DATE]],4),MID(DailyCompletionTable[[#This Row],[PROCESS_DATE]],6,2),MID(DailyCompletionTable[[#This Row],[PROCESS_DATE]],9,2))</f>
        <v>44225</v>
      </c>
      <c r="H655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44224.972916666666</v>
      </c>
    </row>
    <row r="656" spans="1:8" x14ac:dyDescent="0.3">
      <c r="A656" s="2" t="s">
        <v>489</v>
      </c>
      <c r="B656" s="2" t="s">
        <v>9</v>
      </c>
      <c r="C656" s="2" t="s">
        <v>355</v>
      </c>
      <c r="D656" s="2" t="s">
        <v>11</v>
      </c>
      <c r="E656" s="39" t="s">
        <v>595</v>
      </c>
      <c r="F656" s="40" t="str">
        <f>DailyCompletionTable[[#This Row],[TABLE_NAME]]&amp;DailyCompletionTable[[#This Row],[PROCESS_DATE]]</f>
        <v>VIPTUST2021-01-29</v>
      </c>
      <c r="G656" s="41">
        <f>DATE(LEFT(DailyCompletionTable[[#This Row],[PROCESS_DATE]],4),MID(DailyCompletionTable[[#This Row],[PROCESS_DATE]],6,2),MID(DailyCompletionTable[[#This Row],[PROCESS_DATE]],9,2))</f>
        <v>44225</v>
      </c>
      <c r="H656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44224.918703703705</v>
      </c>
    </row>
    <row r="657" spans="1:8" x14ac:dyDescent="0.3">
      <c r="A657" s="2" t="s">
        <v>489</v>
      </c>
      <c r="B657" s="2" t="s">
        <v>9</v>
      </c>
      <c r="C657" s="2" t="s">
        <v>357</v>
      </c>
      <c r="D657" s="2" t="s">
        <v>11</v>
      </c>
      <c r="E657" s="39" t="s">
        <v>596</v>
      </c>
      <c r="F657" s="40" t="str">
        <f>DailyCompletionTable[[#This Row],[TABLE_NAME]]&amp;DailyCompletionTable[[#This Row],[PROCESS_DATE]]</f>
        <v>VIPTX1T2021-01-29</v>
      </c>
      <c r="G657" s="41">
        <f>DATE(LEFT(DailyCompletionTable[[#This Row],[PROCESS_DATE]],4),MID(DailyCompletionTable[[#This Row],[PROCESS_DATE]],6,2),MID(DailyCompletionTable[[#This Row],[PROCESS_DATE]],9,2))</f>
        <v>44225</v>
      </c>
      <c r="H657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44224.921770833331</v>
      </c>
    </row>
    <row r="658" spans="1:8" x14ac:dyDescent="0.3">
      <c r="A658" s="2" t="s">
        <v>489</v>
      </c>
      <c r="B658" s="2" t="s">
        <v>9</v>
      </c>
      <c r="C658" s="2" t="s">
        <v>359</v>
      </c>
      <c r="D658" s="2" t="s">
        <v>11</v>
      </c>
      <c r="E658" s="39" t="s">
        <v>508</v>
      </c>
      <c r="F658" s="40" t="str">
        <f>DailyCompletionTable[[#This Row],[TABLE_NAME]]&amp;DailyCompletionTable[[#This Row],[PROCESS_DATE]]</f>
        <v>VIPTXMT2021-01-29</v>
      </c>
      <c r="G658" s="41">
        <f>DATE(LEFT(DailyCompletionTable[[#This Row],[PROCESS_DATE]],4),MID(DailyCompletionTable[[#This Row],[PROCESS_DATE]],6,2),MID(DailyCompletionTable[[#This Row],[PROCESS_DATE]],9,2))</f>
        <v>44225</v>
      </c>
      <c r="H658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44224.847488425927</v>
      </c>
    </row>
    <row r="659" spans="1:8" x14ac:dyDescent="0.3">
      <c r="A659" s="2" t="s">
        <v>489</v>
      </c>
      <c r="B659" s="2" t="s">
        <v>9</v>
      </c>
      <c r="C659" s="2" t="s">
        <v>361</v>
      </c>
      <c r="D659" s="2" t="s">
        <v>11</v>
      </c>
      <c r="E659" s="39" t="s">
        <v>597</v>
      </c>
      <c r="F659" s="40" t="str">
        <f>DailyCompletionTable[[#This Row],[TABLE_NAME]]&amp;DailyCompletionTable[[#This Row],[PROCESS_DATE]]</f>
        <v>VIPTXRT2021-01-29</v>
      </c>
      <c r="G659" s="41">
        <f>DATE(LEFT(DailyCompletionTable[[#This Row],[PROCESS_DATE]],4),MID(DailyCompletionTable[[#This Row],[PROCESS_DATE]],6,2),MID(DailyCompletionTable[[#This Row],[PROCESS_DATE]],9,2))</f>
        <v>44225</v>
      </c>
      <c r="H659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44224.847083333334</v>
      </c>
    </row>
    <row r="660" spans="1:8" x14ac:dyDescent="0.3">
      <c r="A660" s="2" t="s">
        <v>489</v>
      </c>
      <c r="B660" s="2" t="s">
        <v>9</v>
      </c>
      <c r="C660" s="2" t="s">
        <v>362</v>
      </c>
      <c r="D660" s="2" t="s">
        <v>11</v>
      </c>
      <c r="E660" s="39" t="s">
        <v>598</v>
      </c>
      <c r="F660" s="40" t="str">
        <f>DailyCompletionTable[[#This Row],[TABLE_NAME]]&amp;DailyCompletionTable[[#This Row],[PROCESS_DATE]]</f>
        <v>VIPTXTT2021-01-29</v>
      </c>
      <c r="G660" s="41">
        <f>DATE(LEFT(DailyCompletionTable[[#This Row],[PROCESS_DATE]],4),MID(DailyCompletionTable[[#This Row],[PROCESS_DATE]],6,2),MID(DailyCompletionTable[[#This Row],[PROCESS_DATE]],9,2))</f>
        <v>44225</v>
      </c>
      <c r="H660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44224.847430555557</v>
      </c>
    </row>
    <row r="661" spans="1:8" x14ac:dyDescent="0.3">
      <c r="A661" s="2" t="s">
        <v>489</v>
      </c>
      <c r="B661" s="2" t="s">
        <v>9</v>
      </c>
      <c r="C661" s="2" t="s">
        <v>363</v>
      </c>
      <c r="D661" s="2" t="s">
        <v>11</v>
      </c>
      <c r="E661" s="39" t="s">
        <v>599</v>
      </c>
      <c r="F661" s="40" t="str">
        <f>DailyCompletionTable[[#This Row],[TABLE_NAME]]&amp;DailyCompletionTable[[#This Row],[PROCESS_DATE]]</f>
        <v>VIPXAAT2021-01-29</v>
      </c>
      <c r="G661" s="41">
        <f>DATE(LEFT(DailyCompletionTable[[#This Row],[PROCESS_DATE]],4),MID(DailyCompletionTable[[#This Row],[PROCESS_DATE]],6,2),MID(DailyCompletionTable[[#This Row],[PROCESS_DATE]],9,2))</f>
        <v>44225</v>
      </c>
      <c r="H661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44224.87740740741</v>
      </c>
    </row>
    <row r="662" spans="1:8" x14ac:dyDescent="0.3">
      <c r="A662" s="2" t="s">
        <v>489</v>
      </c>
      <c r="B662" s="2" t="s">
        <v>9</v>
      </c>
      <c r="C662" s="2" t="s">
        <v>365</v>
      </c>
      <c r="D662" s="2" t="s">
        <v>11</v>
      </c>
      <c r="E662" s="39" t="s">
        <v>600</v>
      </c>
      <c r="F662" s="40" t="str">
        <f>DailyCompletionTable[[#This Row],[TABLE_NAME]]&amp;DailyCompletionTable[[#This Row],[PROCESS_DATE]]</f>
        <v>VIPXCAT2021-01-29</v>
      </c>
      <c r="G662" s="41">
        <f>DATE(LEFT(DailyCompletionTable[[#This Row],[PROCESS_DATE]],4),MID(DailyCompletionTable[[#This Row],[PROCESS_DATE]],6,2),MID(DailyCompletionTable[[#This Row],[PROCESS_DATE]],9,2))</f>
        <v>44225</v>
      </c>
      <c r="H662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44224.877476851849</v>
      </c>
    </row>
    <row r="663" spans="1:8" x14ac:dyDescent="0.3">
      <c r="A663" s="2" t="s">
        <v>489</v>
      </c>
      <c r="B663" s="2" t="s">
        <v>9</v>
      </c>
      <c r="C663" s="2" t="s">
        <v>367</v>
      </c>
      <c r="D663" s="2" t="s">
        <v>11</v>
      </c>
      <c r="E663" s="39" t="s">
        <v>599</v>
      </c>
      <c r="F663" s="40" t="str">
        <f>DailyCompletionTable[[#This Row],[TABLE_NAME]]&amp;DailyCompletionTable[[#This Row],[PROCESS_DATE]]</f>
        <v>VIPXPMT2021-01-29</v>
      </c>
      <c r="G663" s="41">
        <f>DATE(LEFT(DailyCompletionTable[[#This Row],[PROCESS_DATE]],4),MID(DailyCompletionTable[[#This Row],[PROCESS_DATE]],6,2),MID(DailyCompletionTable[[#This Row],[PROCESS_DATE]],9,2))</f>
        <v>44225</v>
      </c>
      <c r="H663" s="42">
        <f>DATE(LEFT(DailyCompletionTable[[#This Row],[FINISH_DATE_TIME]],4),MID(DailyCompletionTable[[#This Row],[FINISH_DATE_TIME]],6,2),MID(DailyCompletionTable[[#This Row],[FINISH_DATE_TIME]],9,2)) + TIME(MID(DailyCompletionTable[[#This Row],[FINISH_DATE_TIME]],12,2),MID(DailyCompletionTable[[#This Row],[FINISH_DATE_TIME]],15,2),MID(DailyCompletionTable[[#This Row],[FINISH_DATE_TIME]],18,2))</f>
        <v>44224.87740740741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FDDE-4189-486F-BE25-72902CCA73B7}">
  <dimension ref="A1:H450"/>
  <sheetViews>
    <sheetView tabSelected="1" topLeftCell="D1" workbookViewId="0">
      <pane ySplit="3" topLeftCell="A4" activePane="bottomLeft" state="frozen"/>
      <selection pane="bottomLeft" activeCell="A8" sqref="A8"/>
    </sheetView>
  </sheetViews>
  <sheetFormatPr defaultRowHeight="14.4" x14ac:dyDescent="0.3"/>
  <cols>
    <col min="2" max="2" width="38.6640625" bestFit="1" customWidth="1"/>
    <col min="3" max="3" width="8.33203125" customWidth="1"/>
    <col min="4" max="4" width="33.109375" bestFit="1" customWidth="1"/>
    <col min="5" max="6" width="16.88671875" bestFit="1" customWidth="1"/>
    <col min="7" max="7" width="10" customWidth="1"/>
  </cols>
  <sheetData>
    <row r="1" spans="1:8" x14ac:dyDescent="0.3">
      <c r="B1" s="15" t="s">
        <v>601</v>
      </c>
      <c r="C1" s="15" t="s">
        <v>602</v>
      </c>
      <c r="D1" s="15" t="s">
        <v>603</v>
      </c>
      <c r="E1" s="15" t="s">
        <v>604</v>
      </c>
      <c r="F1" s="15" t="s">
        <v>605</v>
      </c>
      <c r="G1" s="15" t="s">
        <v>606</v>
      </c>
      <c r="H1" s="16" t="s">
        <v>607</v>
      </c>
    </row>
    <row r="2" spans="1:8" s="69" customFormat="1" ht="24" customHeight="1" x14ac:dyDescent="0.3">
      <c r="A2" s="84" t="s">
        <v>608</v>
      </c>
      <c r="B2" s="86"/>
      <c r="C2" s="86"/>
      <c r="D2" s="86"/>
      <c r="E2" s="86"/>
      <c r="F2" s="86"/>
      <c r="G2" s="86"/>
      <c r="H2" s="86"/>
    </row>
    <row r="3" spans="1:8" s="69" customFormat="1" ht="13.5" customHeight="1" x14ac:dyDescent="0.3">
      <c r="A3" s="87" t="s">
        <v>609</v>
      </c>
      <c r="B3" s="86"/>
      <c r="C3" s="86"/>
      <c r="D3" s="86"/>
      <c r="E3" s="86"/>
      <c r="F3" s="86"/>
      <c r="G3" s="86"/>
      <c r="H3" s="86"/>
    </row>
    <row r="4" spans="1:8" s="68" customFormat="1" ht="35.4" x14ac:dyDescent="0.3">
      <c r="A4" s="85" t="s">
        <v>610</v>
      </c>
      <c r="B4" s="86"/>
      <c r="C4" s="86"/>
      <c r="D4" s="86"/>
      <c r="E4" s="86"/>
      <c r="F4" s="86"/>
      <c r="G4" s="86"/>
      <c r="H4" s="86"/>
    </row>
    <row r="5" spans="1:8" s="68" customFormat="1" ht="46.8" x14ac:dyDescent="0.3">
      <c r="A5" s="85" t="s">
        <v>611</v>
      </c>
      <c r="B5" s="86"/>
      <c r="C5" s="86"/>
      <c r="D5" s="86"/>
      <c r="E5" s="86"/>
      <c r="F5" s="86"/>
      <c r="G5" s="86"/>
      <c r="H5" s="86"/>
    </row>
    <row r="6" spans="1:8" x14ac:dyDescent="0.3">
      <c r="A6" s="88"/>
      <c r="B6" s="88" t="s">
        <v>601</v>
      </c>
      <c r="C6" s="88" t="s">
        <v>602</v>
      </c>
      <c r="D6" s="88" t="s">
        <v>603</v>
      </c>
      <c r="E6" s="88" t="s">
        <v>604</v>
      </c>
      <c r="F6" s="88" t="s">
        <v>605</v>
      </c>
      <c r="G6" s="88" t="s">
        <v>606</v>
      </c>
      <c r="H6" s="88" t="s">
        <v>607</v>
      </c>
    </row>
    <row r="7" spans="1:8" x14ac:dyDescent="0.3">
      <c r="A7" s="89"/>
      <c r="B7" s="90" t="s">
        <v>612</v>
      </c>
      <c r="C7" s="89" t="s">
        <v>613</v>
      </c>
      <c r="D7" s="89"/>
      <c r="E7" s="91">
        <v>44225.34375</v>
      </c>
      <c r="F7" s="91">
        <v>44225.34375</v>
      </c>
      <c r="G7" s="89" t="s">
        <v>614</v>
      </c>
      <c r="H7" s="89">
        <v>0</v>
      </c>
    </row>
    <row r="8" spans="1:8" x14ac:dyDescent="0.3">
      <c r="A8" s="92"/>
      <c r="B8" s="93" t="s">
        <v>615</v>
      </c>
      <c r="C8" s="92" t="s">
        <v>613</v>
      </c>
      <c r="D8" s="92"/>
      <c r="E8" s="94">
        <v>44225.347222222219</v>
      </c>
      <c r="F8" s="94">
        <v>44225.347222222219</v>
      </c>
      <c r="G8" s="92" t="s">
        <v>614</v>
      </c>
      <c r="H8" s="92">
        <v>0</v>
      </c>
    </row>
    <row r="9" spans="1:8" x14ac:dyDescent="0.3">
      <c r="A9" s="89"/>
      <c r="B9" s="90" t="s">
        <v>616</v>
      </c>
      <c r="C9" s="89" t="s">
        <v>613</v>
      </c>
      <c r="D9" s="89"/>
      <c r="E9" s="91">
        <v>44225.34375</v>
      </c>
      <c r="F9" s="91">
        <v>44225.34375</v>
      </c>
      <c r="G9" s="89" t="s">
        <v>614</v>
      </c>
      <c r="H9" s="89">
        <v>0</v>
      </c>
    </row>
    <row r="10" spans="1:8" x14ac:dyDescent="0.3">
      <c r="A10" s="92"/>
      <c r="B10" s="93" t="s">
        <v>617</v>
      </c>
      <c r="C10" s="92" t="s">
        <v>613</v>
      </c>
      <c r="D10" s="92"/>
      <c r="E10" s="94">
        <v>44224.947916666664</v>
      </c>
      <c r="F10" s="94">
        <v>44224.959722222222</v>
      </c>
      <c r="G10" s="92" t="s">
        <v>614</v>
      </c>
      <c r="H10" s="92">
        <v>0</v>
      </c>
    </row>
    <row r="11" spans="1:8" x14ac:dyDescent="0.3">
      <c r="A11" s="89"/>
      <c r="B11" s="90" t="s">
        <v>618</v>
      </c>
      <c r="C11" s="89" t="s">
        <v>613</v>
      </c>
      <c r="D11" s="89"/>
      <c r="E11" s="91">
        <v>44224.947916666664</v>
      </c>
      <c r="F11" s="91">
        <v>44224.951388888891</v>
      </c>
      <c r="G11" s="89" t="s">
        <v>614</v>
      </c>
      <c r="H11" s="89">
        <v>0</v>
      </c>
    </row>
    <row r="12" spans="1:8" x14ac:dyDescent="0.3">
      <c r="A12" s="92"/>
      <c r="B12" s="93" t="s">
        <v>619</v>
      </c>
      <c r="C12" s="92" t="s">
        <v>613</v>
      </c>
      <c r="D12" s="92"/>
      <c r="E12" s="94">
        <v>44224.947916666664</v>
      </c>
      <c r="F12" s="94">
        <v>44224.950694444444</v>
      </c>
      <c r="G12" s="92" t="s">
        <v>614</v>
      </c>
      <c r="H12" s="92">
        <v>0</v>
      </c>
    </row>
    <row r="13" spans="1:8" x14ac:dyDescent="0.3">
      <c r="A13" s="89"/>
      <c r="B13" s="90" t="s">
        <v>620</v>
      </c>
      <c r="C13" s="89" t="s">
        <v>613</v>
      </c>
      <c r="D13" s="89"/>
      <c r="E13" s="91">
        <v>44224.951388888891</v>
      </c>
      <c r="F13" s="91">
        <v>44224.95416666667</v>
      </c>
      <c r="G13" s="89" t="s">
        <v>614</v>
      </c>
      <c r="H13" s="89">
        <v>0</v>
      </c>
    </row>
    <row r="14" spans="1:8" x14ac:dyDescent="0.3">
      <c r="A14" s="92"/>
      <c r="B14" s="93" t="s">
        <v>621</v>
      </c>
      <c r="C14" s="92" t="s">
        <v>613</v>
      </c>
      <c r="D14" s="92"/>
      <c r="E14" s="94">
        <v>44224.951388888891</v>
      </c>
      <c r="F14" s="94">
        <v>44224.95416666667</v>
      </c>
      <c r="G14" s="92" t="s">
        <v>614</v>
      </c>
      <c r="H14" s="92">
        <v>0</v>
      </c>
    </row>
    <row r="15" spans="1:8" x14ac:dyDescent="0.3">
      <c r="A15" s="89"/>
      <c r="B15" s="90" t="s">
        <v>622</v>
      </c>
      <c r="C15" s="89" t="s">
        <v>613</v>
      </c>
      <c r="D15" s="89"/>
      <c r="E15" s="91">
        <v>44224.951388888891</v>
      </c>
      <c r="F15" s="91">
        <v>44224.95416666667</v>
      </c>
      <c r="G15" s="89" t="s">
        <v>614</v>
      </c>
      <c r="H15" s="89">
        <v>0</v>
      </c>
    </row>
    <row r="16" spans="1:8" x14ac:dyDescent="0.3">
      <c r="A16" s="92"/>
      <c r="B16" s="93" t="s">
        <v>623</v>
      </c>
      <c r="C16" s="92" t="s">
        <v>613</v>
      </c>
      <c r="D16" s="92"/>
      <c r="E16" s="94">
        <v>44224.954861111109</v>
      </c>
      <c r="F16" s="94">
        <v>44224.959027777775</v>
      </c>
      <c r="G16" s="92" t="s">
        <v>614</v>
      </c>
      <c r="H16" s="92">
        <v>0</v>
      </c>
    </row>
    <row r="17" spans="1:8" x14ac:dyDescent="0.3">
      <c r="A17" s="89"/>
      <c r="B17" s="90" t="s">
        <v>624</v>
      </c>
      <c r="C17" s="89" t="s">
        <v>613</v>
      </c>
      <c r="D17" s="89"/>
      <c r="E17" s="91">
        <v>44224.954861111109</v>
      </c>
      <c r="F17" s="91">
        <v>44224.959027777775</v>
      </c>
      <c r="G17" s="89" t="s">
        <v>614</v>
      </c>
      <c r="H17" s="89">
        <v>0</v>
      </c>
    </row>
    <row r="18" spans="1:8" x14ac:dyDescent="0.3">
      <c r="A18" s="92"/>
      <c r="B18" s="93" t="s">
        <v>625</v>
      </c>
      <c r="C18" s="92" t="s">
        <v>613</v>
      </c>
      <c r="D18" s="92"/>
      <c r="E18" s="94">
        <v>44224.954861111109</v>
      </c>
      <c r="F18" s="94">
        <v>44224.959027777775</v>
      </c>
      <c r="G18" s="92" t="s">
        <v>614</v>
      </c>
      <c r="H18" s="92">
        <v>0</v>
      </c>
    </row>
    <row r="19" spans="1:8" x14ac:dyDescent="0.3">
      <c r="A19" s="89"/>
      <c r="B19" s="90" t="s">
        <v>626</v>
      </c>
      <c r="C19" s="89" t="s">
        <v>613</v>
      </c>
      <c r="D19" s="89"/>
      <c r="E19" s="91">
        <v>44224.954861111109</v>
      </c>
      <c r="F19" s="91">
        <v>44224.958333333336</v>
      </c>
      <c r="G19" s="89" t="s">
        <v>614</v>
      </c>
      <c r="H19" s="89">
        <v>0</v>
      </c>
    </row>
    <row r="20" spans="1:8" x14ac:dyDescent="0.3">
      <c r="A20" s="92"/>
      <c r="B20" s="93" t="s">
        <v>627</v>
      </c>
      <c r="C20" s="92" t="s">
        <v>613</v>
      </c>
      <c r="D20" s="92"/>
      <c r="E20" s="94">
        <v>44224.965277777781</v>
      </c>
      <c r="F20" s="94">
        <v>44224.966666666667</v>
      </c>
      <c r="G20" s="92" t="s">
        <v>614</v>
      </c>
      <c r="H20" s="92">
        <v>0</v>
      </c>
    </row>
    <row r="21" spans="1:8" x14ac:dyDescent="0.3">
      <c r="A21" s="89"/>
      <c r="B21" s="90" t="s">
        <v>628</v>
      </c>
      <c r="C21" s="89" t="s">
        <v>613</v>
      </c>
      <c r="D21" s="89"/>
      <c r="E21" s="91">
        <v>44224.965277777781</v>
      </c>
      <c r="F21" s="91">
        <v>44224.967361111114</v>
      </c>
      <c r="G21" s="89" t="s">
        <v>614</v>
      </c>
      <c r="H21" s="89">
        <v>0</v>
      </c>
    </row>
    <row r="22" spans="1:8" x14ac:dyDescent="0.3">
      <c r="A22" s="92"/>
      <c r="B22" s="93" t="s">
        <v>629</v>
      </c>
      <c r="C22" s="92" t="s">
        <v>613</v>
      </c>
      <c r="D22" s="92"/>
      <c r="E22" s="94">
        <v>44224.965277777781</v>
      </c>
      <c r="F22" s="94">
        <v>44224.967361111114</v>
      </c>
      <c r="G22" s="92" t="s">
        <v>614</v>
      </c>
      <c r="H22" s="92">
        <v>0</v>
      </c>
    </row>
    <row r="23" spans="1:8" x14ac:dyDescent="0.3">
      <c r="A23" s="89"/>
      <c r="B23" s="90" t="s">
        <v>630</v>
      </c>
      <c r="C23" s="89" t="s">
        <v>613</v>
      </c>
      <c r="D23" s="89"/>
      <c r="E23" s="91">
        <v>44224.96875</v>
      </c>
      <c r="F23" s="91">
        <v>44224.970138888886</v>
      </c>
      <c r="G23" s="89" t="s">
        <v>614</v>
      </c>
      <c r="H23" s="89">
        <v>0</v>
      </c>
    </row>
    <row r="24" spans="1:8" x14ac:dyDescent="0.3">
      <c r="A24" s="92"/>
      <c r="B24" s="93" t="s">
        <v>631</v>
      </c>
      <c r="C24" s="92" t="s">
        <v>613</v>
      </c>
      <c r="D24" s="92"/>
      <c r="E24" s="94">
        <v>44224.96875</v>
      </c>
      <c r="F24" s="94">
        <v>44224.970138888886</v>
      </c>
      <c r="G24" s="92" t="s">
        <v>614</v>
      </c>
      <c r="H24" s="92">
        <v>0</v>
      </c>
    </row>
    <row r="25" spans="1:8" x14ac:dyDescent="0.3">
      <c r="A25" s="89"/>
      <c r="B25" s="90" t="s">
        <v>632</v>
      </c>
      <c r="C25" s="89" t="s">
        <v>613</v>
      </c>
      <c r="D25" s="89"/>
      <c r="E25" s="91">
        <v>44224.96875</v>
      </c>
      <c r="F25" s="91">
        <v>44224.970833333333</v>
      </c>
      <c r="G25" s="89" t="s">
        <v>614</v>
      </c>
      <c r="H25" s="89">
        <v>0</v>
      </c>
    </row>
    <row r="26" spans="1:8" x14ac:dyDescent="0.3">
      <c r="A26" s="92"/>
      <c r="B26" s="93" t="s">
        <v>633</v>
      </c>
      <c r="C26" s="92" t="s">
        <v>613</v>
      </c>
      <c r="D26" s="92"/>
      <c r="E26" s="94">
        <v>44224.972222222219</v>
      </c>
      <c r="F26" s="94">
        <v>44224.973611111112</v>
      </c>
      <c r="G26" s="92" t="s">
        <v>614</v>
      </c>
      <c r="H26" s="92">
        <v>0</v>
      </c>
    </row>
    <row r="27" spans="1:8" x14ac:dyDescent="0.3">
      <c r="A27" s="89"/>
      <c r="B27" s="90" t="s">
        <v>634</v>
      </c>
      <c r="C27" s="89" t="s">
        <v>613</v>
      </c>
      <c r="D27" s="89"/>
      <c r="E27" s="91">
        <v>44224.972222222219</v>
      </c>
      <c r="F27" s="91">
        <v>44224.973611111112</v>
      </c>
      <c r="G27" s="89" t="s">
        <v>614</v>
      </c>
      <c r="H27" s="89">
        <v>0</v>
      </c>
    </row>
    <row r="28" spans="1:8" x14ac:dyDescent="0.3">
      <c r="A28" s="92"/>
      <c r="B28" s="93" t="s">
        <v>635</v>
      </c>
      <c r="C28" s="92" t="s">
        <v>613</v>
      </c>
      <c r="D28" s="92"/>
      <c r="E28" s="94">
        <v>44224.972222222219</v>
      </c>
      <c r="F28" s="94">
        <v>44224.973611111112</v>
      </c>
      <c r="G28" s="92" t="s">
        <v>614</v>
      </c>
      <c r="H28" s="92">
        <v>0</v>
      </c>
    </row>
    <row r="29" spans="1:8" x14ac:dyDescent="0.3">
      <c r="A29" s="89"/>
      <c r="B29" s="90" t="s">
        <v>636</v>
      </c>
      <c r="C29" s="89" t="s">
        <v>613</v>
      </c>
      <c r="D29" s="89"/>
      <c r="E29" s="91">
        <v>44224.975694444445</v>
      </c>
      <c r="F29" s="91">
        <v>44224.977083333331</v>
      </c>
      <c r="G29" s="89" t="s">
        <v>614</v>
      </c>
      <c r="H29" s="89">
        <v>0</v>
      </c>
    </row>
    <row r="30" spans="1:8" x14ac:dyDescent="0.3">
      <c r="A30" s="92"/>
      <c r="B30" s="93" t="s">
        <v>637</v>
      </c>
      <c r="C30" s="92" t="s">
        <v>613</v>
      </c>
      <c r="D30" s="92"/>
      <c r="E30" s="94">
        <v>44224.975694444445</v>
      </c>
      <c r="F30" s="94">
        <v>44224.977083333331</v>
      </c>
      <c r="G30" s="92" t="s">
        <v>614</v>
      </c>
      <c r="H30" s="92">
        <v>0</v>
      </c>
    </row>
    <row r="31" spans="1:8" x14ac:dyDescent="0.3">
      <c r="A31" s="89"/>
      <c r="B31" s="90" t="s">
        <v>638</v>
      </c>
      <c r="C31" s="89" t="s">
        <v>613</v>
      </c>
      <c r="D31" s="89"/>
      <c r="E31" s="91">
        <v>44224.975694444445</v>
      </c>
      <c r="F31" s="91">
        <v>44224.977083333331</v>
      </c>
      <c r="G31" s="89" t="s">
        <v>614</v>
      </c>
      <c r="H31" s="89">
        <v>0</v>
      </c>
    </row>
    <row r="32" spans="1:8" x14ac:dyDescent="0.3">
      <c r="A32" s="92"/>
      <c r="B32" s="93" t="s">
        <v>639</v>
      </c>
      <c r="C32" s="92" t="s">
        <v>613</v>
      </c>
      <c r="D32" s="93" t="s">
        <v>617</v>
      </c>
      <c r="E32" s="94">
        <v>44224.947916666664</v>
      </c>
      <c r="F32" s="94">
        <v>44224.958333333336</v>
      </c>
      <c r="G32" s="92" t="s">
        <v>614</v>
      </c>
      <c r="H32" s="92">
        <v>0</v>
      </c>
    </row>
    <row r="33" spans="1:8" x14ac:dyDescent="0.3">
      <c r="A33" s="89"/>
      <c r="B33" s="90" t="s">
        <v>640</v>
      </c>
      <c r="C33" s="89" t="s">
        <v>613</v>
      </c>
      <c r="D33" s="90" t="s">
        <v>618</v>
      </c>
      <c r="E33" s="91">
        <v>44224.947916666664</v>
      </c>
      <c r="F33" s="91">
        <v>44224.95</v>
      </c>
      <c r="G33" s="89" t="s">
        <v>614</v>
      </c>
      <c r="H33" s="89">
        <v>0</v>
      </c>
    </row>
    <row r="34" spans="1:8" x14ac:dyDescent="0.3">
      <c r="A34" s="92"/>
      <c r="B34" s="93" t="s">
        <v>641</v>
      </c>
      <c r="C34" s="92" t="s">
        <v>613</v>
      </c>
      <c r="D34" s="93" t="s">
        <v>619</v>
      </c>
      <c r="E34" s="94">
        <v>44224.947916666664</v>
      </c>
      <c r="F34" s="94">
        <v>44224.950694444444</v>
      </c>
      <c r="G34" s="92" t="s">
        <v>614</v>
      </c>
      <c r="H34" s="92">
        <v>0</v>
      </c>
    </row>
    <row r="35" spans="1:8" x14ac:dyDescent="0.3">
      <c r="A35" s="89"/>
      <c r="B35" s="90" t="s">
        <v>642</v>
      </c>
      <c r="C35" s="89" t="s">
        <v>613</v>
      </c>
      <c r="D35" s="90" t="s">
        <v>623</v>
      </c>
      <c r="E35" s="91">
        <v>44224.954861111109</v>
      </c>
      <c r="F35" s="91">
        <v>44224.957638888889</v>
      </c>
      <c r="G35" s="89" t="s">
        <v>614</v>
      </c>
      <c r="H35" s="89">
        <v>0</v>
      </c>
    </row>
    <row r="36" spans="1:8" x14ac:dyDescent="0.3">
      <c r="A36" s="92"/>
      <c r="B36" s="93" t="s">
        <v>643</v>
      </c>
      <c r="C36" s="92" t="s">
        <v>613</v>
      </c>
      <c r="D36" s="93" t="s">
        <v>635</v>
      </c>
      <c r="E36" s="94">
        <v>44224.972222222219</v>
      </c>
      <c r="F36" s="94">
        <v>44224.972916666666</v>
      </c>
      <c r="G36" s="92" t="s">
        <v>614</v>
      </c>
      <c r="H36" s="92">
        <v>0</v>
      </c>
    </row>
    <row r="37" spans="1:8" x14ac:dyDescent="0.3">
      <c r="A37" s="89"/>
      <c r="B37" s="90" t="s">
        <v>644</v>
      </c>
      <c r="C37" s="89" t="s">
        <v>613</v>
      </c>
      <c r="D37" s="90" t="s">
        <v>620</v>
      </c>
      <c r="E37" s="91">
        <v>44224.951388888891</v>
      </c>
      <c r="F37" s="91">
        <v>44224.953472222223</v>
      </c>
      <c r="G37" s="89" t="s">
        <v>614</v>
      </c>
      <c r="H37" s="89">
        <v>0</v>
      </c>
    </row>
    <row r="38" spans="1:8" x14ac:dyDescent="0.3">
      <c r="A38" s="92"/>
      <c r="B38" s="93" t="s">
        <v>645</v>
      </c>
      <c r="C38" s="92" t="s">
        <v>613</v>
      </c>
      <c r="D38" s="93" t="s">
        <v>621</v>
      </c>
      <c r="E38" s="94">
        <v>44224.951388888891</v>
      </c>
      <c r="F38" s="94">
        <v>44224.953472222223</v>
      </c>
      <c r="G38" s="92" t="s">
        <v>614</v>
      </c>
      <c r="H38" s="92">
        <v>0</v>
      </c>
    </row>
    <row r="39" spans="1:8" x14ac:dyDescent="0.3">
      <c r="A39" s="89"/>
      <c r="B39" s="90" t="s">
        <v>646</v>
      </c>
      <c r="C39" s="89" t="s">
        <v>613</v>
      </c>
      <c r="D39" s="90" t="s">
        <v>622</v>
      </c>
      <c r="E39" s="91">
        <v>44224.951388888891</v>
      </c>
      <c r="F39" s="91">
        <v>44224.952777777777</v>
      </c>
      <c r="G39" s="89" t="s">
        <v>614</v>
      </c>
      <c r="H39" s="89">
        <v>0</v>
      </c>
    </row>
    <row r="40" spans="1:8" x14ac:dyDescent="0.3">
      <c r="A40" s="92"/>
      <c r="B40" s="93" t="s">
        <v>647</v>
      </c>
      <c r="C40" s="92" t="s">
        <v>613</v>
      </c>
      <c r="D40" s="93" t="s">
        <v>636</v>
      </c>
      <c r="E40" s="94">
        <v>44224.975694444445</v>
      </c>
      <c r="F40" s="94">
        <v>44224.976388888892</v>
      </c>
      <c r="G40" s="92" t="s">
        <v>614</v>
      </c>
      <c r="H40" s="92">
        <v>0</v>
      </c>
    </row>
    <row r="41" spans="1:8" x14ac:dyDescent="0.3">
      <c r="A41" s="89"/>
      <c r="B41" s="90" t="s">
        <v>648</v>
      </c>
      <c r="C41" s="89" t="s">
        <v>613</v>
      </c>
      <c r="D41" s="90" t="s">
        <v>637</v>
      </c>
      <c r="E41" s="91">
        <v>44224.975694444445</v>
      </c>
      <c r="F41" s="91">
        <v>44224.976388888892</v>
      </c>
      <c r="G41" s="89" t="s">
        <v>614</v>
      </c>
      <c r="H41" s="89">
        <v>0</v>
      </c>
    </row>
    <row r="42" spans="1:8" x14ac:dyDescent="0.3">
      <c r="A42" s="92"/>
      <c r="B42" s="93" t="s">
        <v>649</v>
      </c>
      <c r="C42" s="92" t="s">
        <v>613</v>
      </c>
      <c r="D42" s="93" t="s">
        <v>638</v>
      </c>
      <c r="E42" s="94">
        <v>44224.975694444445</v>
      </c>
      <c r="F42" s="94">
        <v>44224.976388888892</v>
      </c>
      <c r="G42" s="92" t="s">
        <v>614</v>
      </c>
      <c r="H42" s="92">
        <v>0</v>
      </c>
    </row>
    <row r="43" spans="1:8" x14ac:dyDescent="0.3">
      <c r="A43" s="89"/>
      <c r="B43" s="90" t="s">
        <v>650</v>
      </c>
      <c r="C43" s="89" t="s">
        <v>613</v>
      </c>
      <c r="D43" s="90" t="s">
        <v>626</v>
      </c>
      <c r="E43" s="91">
        <v>44224.954861111109</v>
      </c>
      <c r="F43" s="91">
        <v>44224.957638888889</v>
      </c>
      <c r="G43" s="89" t="s">
        <v>614</v>
      </c>
      <c r="H43" s="89">
        <v>0</v>
      </c>
    </row>
    <row r="44" spans="1:8" x14ac:dyDescent="0.3">
      <c r="A44" s="92"/>
      <c r="B44" s="93" t="s">
        <v>651</v>
      </c>
      <c r="C44" s="92" t="s">
        <v>613</v>
      </c>
      <c r="D44" s="93" t="s">
        <v>627</v>
      </c>
      <c r="E44" s="94">
        <v>44224.965277777781</v>
      </c>
      <c r="F44" s="94">
        <v>44224.96597222222</v>
      </c>
      <c r="G44" s="92" t="s">
        <v>614</v>
      </c>
      <c r="H44" s="92">
        <v>0</v>
      </c>
    </row>
    <row r="45" spans="1:8" x14ac:dyDescent="0.3">
      <c r="A45" s="89"/>
      <c r="B45" s="90" t="s">
        <v>652</v>
      </c>
      <c r="C45" s="89" t="s">
        <v>613</v>
      </c>
      <c r="D45" s="90" t="s">
        <v>625</v>
      </c>
      <c r="E45" s="91">
        <v>44224.954861111109</v>
      </c>
      <c r="F45" s="91">
        <v>44224.956944444442</v>
      </c>
      <c r="G45" s="89" t="s">
        <v>614</v>
      </c>
      <c r="H45" s="89">
        <v>0</v>
      </c>
    </row>
    <row r="46" spans="1:8" x14ac:dyDescent="0.3">
      <c r="A46" s="92"/>
      <c r="B46" s="93" t="s">
        <v>653</v>
      </c>
      <c r="C46" s="92" t="s">
        <v>613</v>
      </c>
      <c r="D46" s="93" t="s">
        <v>629</v>
      </c>
      <c r="E46" s="94">
        <v>44224.965277777781</v>
      </c>
      <c r="F46" s="94">
        <v>44224.966666666667</v>
      </c>
      <c r="G46" s="92" t="s">
        <v>614</v>
      </c>
      <c r="H46" s="92">
        <v>0</v>
      </c>
    </row>
    <row r="47" spans="1:8" x14ac:dyDescent="0.3">
      <c r="A47" s="89"/>
      <c r="B47" s="90" t="s">
        <v>654</v>
      </c>
      <c r="C47" s="89" t="s">
        <v>613</v>
      </c>
      <c r="D47" s="90" t="s">
        <v>628</v>
      </c>
      <c r="E47" s="91">
        <v>44224.965277777781</v>
      </c>
      <c r="F47" s="91">
        <v>44224.96597222222</v>
      </c>
      <c r="G47" s="89" t="s">
        <v>614</v>
      </c>
      <c r="H47" s="89">
        <v>0</v>
      </c>
    </row>
    <row r="48" spans="1:8" x14ac:dyDescent="0.3">
      <c r="A48" s="92"/>
      <c r="B48" s="93" t="s">
        <v>655</v>
      </c>
      <c r="C48" s="92" t="s">
        <v>613</v>
      </c>
      <c r="D48" s="93" t="s">
        <v>630</v>
      </c>
      <c r="E48" s="94">
        <v>44224.96875</v>
      </c>
      <c r="F48" s="94">
        <v>44224.970138888886</v>
      </c>
      <c r="G48" s="92" t="s">
        <v>614</v>
      </c>
      <c r="H48" s="92">
        <v>0</v>
      </c>
    </row>
    <row r="49" spans="1:8" x14ac:dyDescent="0.3">
      <c r="A49" s="89"/>
      <c r="B49" s="90" t="s">
        <v>656</v>
      </c>
      <c r="C49" s="89" t="s">
        <v>613</v>
      </c>
      <c r="D49" s="90" t="s">
        <v>631</v>
      </c>
      <c r="E49" s="91">
        <v>44224.96875</v>
      </c>
      <c r="F49" s="91">
        <v>44224.970138888886</v>
      </c>
      <c r="G49" s="89" t="s">
        <v>614</v>
      </c>
      <c r="H49" s="89">
        <v>0</v>
      </c>
    </row>
    <row r="50" spans="1:8" x14ac:dyDescent="0.3">
      <c r="A50" s="92"/>
      <c r="B50" s="93" t="s">
        <v>657</v>
      </c>
      <c r="C50" s="92" t="s">
        <v>613</v>
      </c>
      <c r="D50" s="93" t="s">
        <v>624</v>
      </c>
      <c r="E50" s="94">
        <v>44224.954861111109</v>
      </c>
      <c r="F50" s="94">
        <v>44224.959027777775</v>
      </c>
      <c r="G50" s="92" t="s">
        <v>614</v>
      </c>
      <c r="H50" s="92">
        <v>0</v>
      </c>
    </row>
    <row r="51" spans="1:8" x14ac:dyDescent="0.3">
      <c r="A51" s="89"/>
      <c r="B51" s="90" t="s">
        <v>658</v>
      </c>
      <c r="C51" s="89" t="s">
        <v>613</v>
      </c>
      <c r="D51" s="90" t="s">
        <v>632</v>
      </c>
      <c r="E51" s="91">
        <v>44224.96875</v>
      </c>
      <c r="F51" s="91">
        <v>44224.970833333333</v>
      </c>
      <c r="G51" s="89" t="s">
        <v>614</v>
      </c>
      <c r="H51" s="89">
        <v>0</v>
      </c>
    </row>
    <row r="52" spans="1:8" x14ac:dyDescent="0.3">
      <c r="A52" s="92"/>
      <c r="B52" s="93" t="s">
        <v>659</v>
      </c>
      <c r="C52" s="92" t="s">
        <v>613</v>
      </c>
      <c r="D52" s="93" t="s">
        <v>633</v>
      </c>
      <c r="E52" s="94">
        <v>44224.972222222219</v>
      </c>
      <c r="F52" s="94">
        <v>44224.973611111112</v>
      </c>
      <c r="G52" s="92" t="s">
        <v>614</v>
      </c>
      <c r="H52" s="92">
        <v>0</v>
      </c>
    </row>
    <row r="53" spans="1:8" x14ac:dyDescent="0.3">
      <c r="A53" s="89"/>
      <c r="B53" s="90" t="s">
        <v>660</v>
      </c>
      <c r="C53" s="89" t="s">
        <v>613</v>
      </c>
      <c r="D53" s="90" t="s">
        <v>634</v>
      </c>
      <c r="E53" s="91">
        <v>44224.972222222219</v>
      </c>
      <c r="F53" s="91">
        <v>44224.973611111112</v>
      </c>
      <c r="G53" s="89" t="s">
        <v>614</v>
      </c>
      <c r="H53" s="89">
        <v>0</v>
      </c>
    </row>
    <row r="54" spans="1:8" x14ac:dyDescent="0.3">
      <c r="A54" s="92"/>
      <c r="B54" s="93" t="s">
        <v>661</v>
      </c>
      <c r="C54" s="92" t="s">
        <v>613</v>
      </c>
      <c r="D54" s="93" t="s">
        <v>617</v>
      </c>
      <c r="E54" s="94">
        <v>44224.947916666664</v>
      </c>
      <c r="F54" s="94">
        <v>44224.958333333336</v>
      </c>
      <c r="G54" s="92" t="s">
        <v>614</v>
      </c>
      <c r="H54" s="92">
        <v>0</v>
      </c>
    </row>
    <row r="55" spans="1:8" x14ac:dyDescent="0.3">
      <c r="A55" s="89"/>
      <c r="B55" s="90" t="s">
        <v>662</v>
      </c>
      <c r="C55" s="89" t="s">
        <v>613</v>
      </c>
      <c r="D55" s="90" t="s">
        <v>618</v>
      </c>
      <c r="E55" s="91">
        <v>44224.947916666664</v>
      </c>
      <c r="F55" s="91">
        <v>44224.950694444444</v>
      </c>
      <c r="G55" s="89" t="s">
        <v>614</v>
      </c>
      <c r="H55" s="89">
        <v>0</v>
      </c>
    </row>
    <row r="56" spans="1:8" x14ac:dyDescent="0.3">
      <c r="A56" s="92"/>
      <c r="B56" s="93" t="s">
        <v>663</v>
      </c>
      <c r="C56" s="92" t="s">
        <v>613</v>
      </c>
      <c r="D56" s="93" t="s">
        <v>619</v>
      </c>
      <c r="E56" s="94">
        <v>44224.947916666664</v>
      </c>
      <c r="F56" s="94">
        <v>44224.95</v>
      </c>
      <c r="G56" s="92" t="s">
        <v>614</v>
      </c>
      <c r="H56" s="92">
        <v>0</v>
      </c>
    </row>
    <row r="57" spans="1:8" x14ac:dyDescent="0.3">
      <c r="A57" s="89"/>
      <c r="B57" s="90" t="s">
        <v>664</v>
      </c>
      <c r="C57" s="89" t="s">
        <v>613</v>
      </c>
      <c r="D57" s="90" t="s">
        <v>623</v>
      </c>
      <c r="E57" s="91">
        <v>44224.954861111109</v>
      </c>
      <c r="F57" s="91">
        <v>44224.958333333336</v>
      </c>
      <c r="G57" s="89" t="s">
        <v>614</v>
      </c>
      <c r="H57" s="89">
        <v>0</v>
      </c>
    </row>
    <row r="58" spans="1:8" x14ac:dyDescent="0.3">
      <c r="A58" s="92"/>
      <c r="B58" s="93" t="s">
        <v>665</v>
      </c>
      <c r="C58" s="92" t="s">
        <v>613</v>
      </c>
      <c r="D58" s="93" t="s">
        <v>635</v>
      </c>
      <c r="E58" s="94">
        <v>44224.972222222219</v>
      </c>
      <c r="F58" s="94">
        <v>44224.972916666666</v>
      </c>
      <c r="G58" s="92" t="s">
        <v>614</v>
      </c>
      <c r="H58" s="92">
        <v>0</v>
      </c>
    </row>
    <row r="59" spans="1:8" x14ac:dyDescent="0.3">
      <c r="A59" s="89"/>
      <c r="B59" s="90" t="s">
        <v>666</v>
      </c>
      <c r="C59" s="89" t="s">
        <v>613</v>
      </c>
      <c r="D59" s="90" t="s">
        <v>620</v>
      </c>
      <c r="E59" s="91">
        <v>44224.951388888891</v>
      </c>
      <c r="F59" s="91">
        <v>44224.953472222223</v>
      </c>
      <c r="G59" s="89" t="s">
        <v>614</v>
      </c>
      <c r="H59" s="89">
        <v>0</v>
      </c>
    </row>
    <row r="60" spans="1:8" x14ac:dyDescent="0.3">
      <c r="A60" s="92"/>
      <c r="B60" s="93" t="s">
        <v>667</v>
      </c>
      <c r="C60" s="92" t="s">
        <v>613</v>
      </c>
      <c r="D60" s="93" t="s">
        <v>621</v>
      </c>
      <c r="E60" s="94">
        <v>44224.951388888891</v>
      </c>
      <c r="F60" s="94">
        <v>44224.953472222223</v>
      </c>
      <c r="G60" s="92" t="s">
        <v>614</v>
      </c>
      <c r="H60" s="92">
        <v>0</v>
      </c>
    </row>
    <row r="61" spans="1:8" x14ac:dyDescent="0.3">
      <c r="A61" s="89"/>
      <c r="B61" s="90" t="s">
        <v>668</v>
      </c>
      <c r="C61" s="89" t="s">
        <v>613</v>
      </c>
      <c r="D61" s="90" t="s">
        <v>622</v>
      </c>
      <c r="E61" s="91">
        <v>44224.951388888891</v>
      </c>
      <c r="F61" s="91">
        <v>44224.95208333333</v>
      </c>
      <c r="G61" s="89" t="s">
        <v>614</v>
      </c>
      <c r="H61" s="89">
        <v>0</v>
      </c>
    </row>
    <row r="62" spans="1:8" x14ac:dyDescent="0.3">
      <c r="A62" s="92"/>
      <c r="B62" s="93" t="s">
        <v>669</v>
      </c>
      <c r="C62" s="92" t="s">
        <v>613</v>
      </c>
      <c r="D62" s="93" t="s">
        <v>636</v>
      </c>
      <c r="E62" s="94">
        <v>44224.975694444445</v>
      </c>
      <c r="F62" s="94">
        <v>44224.976388888892</v>
      </c>
      <c r="G62" s="92" t="s">
        <v>614</v>
      </c>
      <c r="H62" s="92">
        <v>0</v>
      </c>
    </row>
    <row r="63" spans="1:8" x14ac:dyDescent="0.3">
      <c r="A63" s="89"/>
      <c r="B63" s="90" t="s">
        <v>670</v>
      </c>
      <c r="C63" s="89" t="s">
        <v>613</v>
      </c>
      <c r="D63" s="90" t="s">
        <v>637</v>
      </c>
      <c r="E63" s="91">
        <v>44224.975694444445</v>
      </c>
      <c r="F63" s="91">
        <v>44224.976388888892</v>
      </c>
      <c r="G63" s="89" t="s">
        <v>614</v>
      </c>
      <c r="H63" s="89">
        <v>0</v>
      </c>
    </row>
    <row r="64" spans="1:8" x14ac:dyDescent="0.3">
      <c r="A64" s="92"/>
      <c r="B64" s="93" t="s">
        <v>671</v>
      </c>
      <c r="C64" s="92" t="s">
        <v>613</v>
      </c>
      <c r="D64" s="93" t="s">
        <v>638</v>
      </c>
      <c r="E64" s="94">
        <v>44224.975694444445</v>
      </c>
      <c r="F64" s="94">
        <v>44224.976388888892</v>
      </c>
      <c r="G64" s="92" t="s">
        <v>614</v>
      </c>
      <c r="H64" s="92">
        <v>0</v>
      </c>
    </row>
    <row r="65" spans="1:8" x14ac:dyDescent="0.3">
      <c r="A65" s="89"/>
      <c r="B65" s="90" t="s">
        <v>672</v>
      </c>
      <c r="C65" s="89" t="s">
        <v>613</v>
      </c>
      <c r="D65" s="90" t="s">
        <v>626</v>
      </c>
      <c r="E65" s="91">
        <v>44224.954861111109</v>
      </c>
      <c r="F65" s="91">
        <v>44224.956944444442</v>
      </c>
      <c r="G65" s="89" t="s">
        <v>614</v>
      </c>
      <c r="H65" s="89">
        <v>0</v>
      </c>
    </row>
    <row r="66" spans="1:8" x14ac:dyDescent="0.3">
      <c r="A66" s="92"/>
      <c r="B66" s="93" t="s">
        <v>673</v>
      </c>
      <c r="C66" s="92" t="s">
        <v>613</v>
      </c>
      <c r="D66" s="93" t="s">
        <v>627</v>
      </c>
      <c r="E66" s="94">
        <v>44224.965277777781</v>
      </c>
      <c r="F66" s="94">
        <v>44224.96597222222</v>
      </c>
      <c r="G66" s="92" t="s">
        <v>614</v>
      </c>
      <c r="H66" s="92">
        <v>0</v>
      </c>
    </row>
    <row r="67" spans="1:8" x14ac:dyDescent="0.3">
      <c r="A67" s="89"/>
      <c r="B67" s="90" t="s">
        <v>674</v>
      </c>
      <c r="C67" s="89" t="s">
        <v>613</v>
      </c>
      <c r="D67" s="90" t="s">
        <v>625</v>
      </c>
      <c r="E67" s="91">
        <v>44224.954861111109</v>
      </c>
      <c r="F67" s="91">
        <v>44224.958333333336</v>
      </c>
      <c r="G67" s="89" t="s">
        <v>614</v>
      </c>
      <c r="H67" s="89">
        <v>0</v>
      </c>
    </row>
    <row r="68" spans="1:8" x14ac:dyDescent="0.3">
      <c r="A68" s="92"/>
      <c r="B68" s="93" t="s">
        <v>675</v>
      </c>
      <c r="C68" s="92" t="s">
        <v>613</v>
      </c>
      <c r="D68" s="93" t="s">
        <v>629</v>
      </c>
      <c r="E68" s="94">
        <v>44224.965277777781</v>
      </c>
      <c r="F68" s="94">
        <v>44224.966666666667</v>
      </c>
      <c r="G68" s="92" t="s">
        <v>614</v>
      </c>
      <c r="H68" s="92">
        <v>0</v>
      </c>
    </row>
    <row r="69" spans="1:8" x14ac:dyDescent="0.3">
      <c r="A69" s="89"/>
      <c r="B69" s="90" t="s">
        <v>676</v>
      </c>
      <c r="C69" s="89" t="s">
        <v>613</v>
      </c>
      <c r="D69" s="90" t="s">
        <v>628</v>
      </c>
      <c r="E69" s="91">
        <v>44224.965277777781</v>
      </c>
      <c r="F69" s="91">
        <v>44224.96597222222</v>
      </c>
      <c r="G69" s="89" t="s">
        <v>614</v>
      </c>
      <c r="H69" s="89">
        <v>0</v>
      </c>
    </row>
    <row r="70" spans="1:8" x14ac:dyDescent="0.3">
      <c r="A70" s="92"/>
      <c r="B70" s="93" t="s">
        <v>677</v>
      </c>
      <c r="C70" s="92" t="s">
        <v>613</v>
      </c>
      <c r="D70" s="93" t="s">
        <v>630</v>
      </c>
      <c r="E70" s="94">
        <v>44224.96875</v>
      </c>
      <c r="F70" s="94">
        <v>44224.970138888886</v>
      </c>
      <c r="G70" s="92" t="s">
        <v>614</v>
      </c>
      <c r="H70" s="92">
        <v>0</v>
      </c>
    </row>
    <row r="71" spans="1:8" x14ac:dyDescent="0.3">
      <c r="A71" s="89"/>
      <c r="B71" s="90" t="s">
        <v>678</v>
      </c>
      <c r="C71" s="89" t="s">
        <v>613</v>
      </c>
      <c r="D71" s="90" t="s">
        <v>631</v>
      </c>
      <c r="E71" s="91">
        <v>44224.96875</v>
      </c>
      <c r="F71" s="91">
        <v>44224.970138888886</v>
      </c>
      <c r="G71" s="89" t="s">
        <v>614</v>
      </c>
      <c r="H71" s="89">
        <v>0</v>
      </c>
    </row>
    <row r="72" spans="1:8" x14ac:dyDescent="0.3">
      <c r="A72" s="92"/>
      <c r="B72" s="93" t="s">
        <v>679</v>
      </c>
      <c r="C72" s="92" t="s">
        <v>613</v>
      </c>
      <c r="D72" s="93" t="s">
        <v>624</v>
      </c>
      <c r="E72" s="94">
        <v>44224.954861111109</v>
      </c>
      <c r="F72" s="94">
        <v>44224.956944444442</v>
      </c>
      <c r="G72" s="92" t="s">
        <v>614</v>
      </c>
      <c r="H72" s="92">
        <v>0</v>
      </c>
    </row>
    <row r="73" spans="1:8" x14ac:dyDescent="0.3">
      <c r="A73" s="89"/>
      <c r="B73" s="90" t="s">
        <v>680</v>
      </c>
      <c r="C73" s="89" t="s">
        <v>613</v>
      </c>
      <c r="D73" s="90" t="s">
        <v>632</v>
      </c>
      <c r="E73" s="91">
        <v>44224.96875</v>
      </c>
      <c r="F73" s="91">
        <v>44224.970138888886</v>
      </c>
      <c r="G73" s="89" t="s">
        <v>614</v>
      </c>
      <c r="H73" s="89">
        <v>0</v>
      </c>
    </row>
    <row r="74" spans="1:8" x14ac:dyDescent="0.3">
      <c r="A74" s="92"/>
      <c r="B74" s="93" t="s">
        <v>681</v>
      </c>
      <c r="C74" s="92" t="s">
        <v>613</v>
      </c>
      <c r="D74" s="93" t="s">
        <v>633</v>
      </c>
      <c r="E74" s="94">
        <v>44224.972222222219</v>
      </c>
      <c r="F74" s="94">
        <v>44224.973611111112</v>
      </c>
      <c r="G74" s="92" t="s">
        <v>614</v>
      </c>
      <c r="H74" s="92">
        <v>0</v>
      </c>
    </row>
    <row r="75" spans="1:8" x14ac:dyDescent="0.3">
      <c r="A75" s="89"/>
      <c r="B75" s="90" t="s">
        <v>682</v>
      </c>
      <c r="C75" s="89" t="s">
        <v>613</v>
      </c>
      <c r="D75" s="90" t="s">
        <v>634</v>
      </c>
      <c r="E75" s="91">
        <v>44224.972222222219</v>
      </c>
      <c r="F75" s="91">
        <v>44224.973611111112</v>
      </c>
      <c r="G75" s="89" t="s">
        <v>614</v>
      </c>
      <c r="H75" s="89">
        <v>0</v>
      </c>
    </row>
    <row r="76" spans="1:8" x14ac:dyDescent="0.3">
      <c r="A76" s="92"/>
      <c r="B76" s="93" t="s">
        <v>683</v>
      </c>
      <c r="C76" s="92" t="s">
        <v>613</v>
      </c>
      <c r="D76" s="93" t="s">
        <v>617</v>
      </c>
      <c r="E76" s="94">
        <v>44224.947916666664</v>
      </c>
      <c r="F76" s="94">
        <v>44224.95416666667</v>
      </c>
      <c r="G76" s="92" t="s">
        <v>614</v>
      </c>
      <c r="H76" s="92">
        <v>0</v>
      </c>
    </row>
    <row r="77" spans="1:8" x14ac:dyDescent="0.3">
      <c r="A77" s="89"/>
      <c r="B77" s="90" t="s">
        <v>684</v>
      </c>
      <c r="C77" s="89" t="s">
        <v>613</v>
      </c>
      <c r="D77" s="90" t="s">
        <v>618</v>
      </c>
      <c r="E77" s="91">
        <v>44224.947916666664</v>
      </c>
      <c r="F77" s="91">
        <v>44224.95</v>
      </c>
      <c r="G77" s="89" t="s">
        <v>614</v>
      </c>
      <c r="H77" s="89">
        <v>0</v>
      </c>
    </row>
    <row r="78" spans="1:8" x14ac:dyDescent="0.3">
      <c r="A78" s="92"/>
      <c r="B78" s="93" t="s">
        <v>685</v>
      </c>
      <c r="C78" s="92" t="s">
        <v>613</v>
      </c>
      <c r="D78" s="93" t="s">
        <v>619</v>
      </c>
      <c r="E78" s="94">
        <v>44224.947916666664</v>
      </c>
      <c r="F78" s="94">
        <v>44224.95</v>
      </c>
      <c r="G78" s="92" t="s">
        <v>614</v>
      </c>
      <c r="H78" s="92">
        <v>0</v>
      </c>
    </row>
    <row r="79" spans="1:8" x14ac:dyDescent="0.3">
      <c r="A79" s="89"/>
      <c r="B79" s="90" t="s">
        <v>686</v>
      </c>
      <c r="C79" s="89" t="s">
        <v>613</v>
      </c>
      <c r="D79" s="90" t="s">
        <v>623</v>
      </c>
      <c r="E79" s="91">
        <v>44224.954861111109</v>
      </c>
      <c r="F79" s="91">
        <v>44224.957638888889</v>
      </c>
      <c r="G79" s="89" t="s">
        <v>614</v>
      </c>
      <c r="H79" s="89">
        <v>0</v>
      </c>
    </row>
    <row r="80" spans="1:8" x14ac:dyDescent="0.3">
      <c r="A80" s="92"/>
      <c r="B80" s="93" t="s">
        <v>687</v>
      </c>
      <c r="C80" s="92" t="s">
        <v>613</v>
      </c>
      <c r="D80" s="93" t="s">
        <v>635</v>
      </c>
      <c r="E80" s="94">
        <v>44224.972222222219</v>
      </c>
      <c r="F80" s="94">
        <v>44224.972916666666</v>
      </c>
      <c r="G80" s="92" t="s">
        <v>614</v>
      </c>
      <c r="H80" s="92">
        <v>0</v>
      </c>
    </row>
    <row r="81" spans="1:8" x14ac:dyDescent="0.3">
      <c r="A81" s="89"/>
      <c r="B81" s="90" t="s">
        <v>688</v>
      </c>
      <c r="C81" s="89" t="s">
        <v>613</v>
      </c>
      <c r="D81" s="90" t="s">
        <v>620</v>
      </c>
      <c r="E81" s="91">
        <v>44224.951388888891</v>
      </c>
      <c r="F81" s="91">
        <v>44224.952777777777</v>
      </c>
      <c r="G81" s="89" t="s">
        <v>614</v>
      </c>
      <c r="H81" s="89">
        <v>0</v>
      </c>
    </row>
    <row r="82" spans="1:8" x14ac:dyDescent="0.3">
      <c r="A82" s="92"/>
      <c r="B82" s="93" t="s">
        <v>689</v>
      </c>
      <c r="C82" s="92" t="s">
        <v>613</v>
      </c>
      <c r="D82" s="93" t="s">
        <v>621</v>
      </c>
      <c r="E82" s="94">
        <v>44224.951388888891</v>
      </c>
      <c r="F82" s="94">
        <v>44224.952777777777</v>
      </c>
      <c r="G82" s="92" t="s">
        <v>614</v>
      </c>
      <c r="H82" s="92">
        <v>0</v>
      </c>
    </row>
    <row r="83" spans="1:8" x14ac:dyDescent="0.3">
      <c r="A83" s="89"/>
      <c r="B83" s="90" t="s">
        <v>690</v>
      </c>
      <c r="C83" s="89" t="s">
        <v>613</v>
      </c>
      <c r="D83" s="90" t="s">
        <v>622</v>
      </c>
      <c r="E83" s="91">
        <v>44224.951388888891</v>
      </c>
      <c r="F83" s="91">
        <v>44224.952777777777</v>
      </c>
      <c r="G83" s="89" t="s">
        <v>614</v>
      </c>
      <c r="H83" s="89">
        <v>0</v>
      </c>
    </row>
    <row r="84" spans="1:8" x14ac:dyDescent="0.3">
      <c r="A84" s="92"/>
      <c r="B84" s="93" t="s">
        <v>691</v>
      </c>
      <c r="C84" s="92" t="s">
        <v>613</v>
      </c>
      <c r="D84" s="93" t="s">
        <v>636</v>
      </c>
      <c r="E84" s="94">
        <v>44224.975694444445</v>
      </c>
      <c r="F84" s="94">
        <v>44224.976388888892</v>
      </c>
      <c r="G84" s="92" t="s">
        <v>614</v>
      </c>
      <c r="H84" s="92">
        <v>0</v>
      </c>
    </row>
    <row r="85" spans="1:8" x14ac:dyDescent="0.3">
      <c r="A85" s="89"/>
      <c r="B85" s="90" t="s">
        <v>692</v>
      </c>
      <c r="C85" s="89" t="s">
        <v>613</v>
      </c>
      <c r="D85" s="90" t="s">
        <v>637</v>
      </c>
      <c r="E85" s="91">
        <v>44224.975694444445</v>
      </c>
      <c r="F85" s="91">
        <v>44224.976388888892</v>
      </c>
      <c r="G85" s="89" t="s">
        <v>614</v>
      </c>
      <c r="H85" s="89">
        <v>0</v>
      </c>
    </row>
    <row r="86" spans="1:8" x14ac:dyDescent="0.3">
      <c r="A86" s="92"/>
      <c r="B86" s="93" t="s">
        <v>693</v>
      </c>
      <c r="C86" s="92" t="s">
        <v>613</v>
      </c>
      <c r="D86" s="93" t="s">
        <v>638</v>
      </c>
      <c r="E86" s="94">
        <v>44224.975694444445</v>
      </c>
      <c r="F86" s="94">
        <v>44224.976388888892</v>
      </c>
      <c r="G86" s="92" t="s">
        <v>614</v>
      </c>
      <c r="H86" s="92">
        <v>0</v>
      </c>
    </row>
    <row r="87" spans="1:8" x14ac:dyDescent="0.3">
      <c r="A87" s="89"/>
      <c r="B87" s="90" t="s">
        <v>694</v>
      </c>
      <c r="C87" s="89" t="s">
        <v>613</v>
      </c>
      <c r="D87" s="90" t="s">
        <v>626</v>
      </c>
      <c r="E87" s="91">
        <v>44224.954861111109</v>
      </c>
      <c r="F87" s="91">
        <v>44224.956944444442</v>
      </c>
      <c r="G87" s="89" t="s">
        <v>614</v>
      </c>
      <c r="H87" s="89">
        <v>0</v>
      </c>
    </row>
    <row r="88" spans="1:8" x14ac:dyDescent="0.3">
      <c r="A88" s="92"/>
      <c r="B88" s="93" t="s">
        <v>695</v>
      </c>
      <c r="C88" s="92" t="s">
        <v>613</v>
      </c>
      <c r="D88" s="93" t="s">
        <v>627</v>
      </c>
      <c r="E88" s="94">
        <v>44224.965277777781</v>
      </c>
      <c r="F88" s="94">
        <v>44224.96597222222</v>
      </c>
      <c r="G88" s="92" t="s">
        <v>614</v>
      </c>
      <c r="H88" s="92">
        <v>0</v>
      </c>
    </row>
    <row r="89" spans="1:8" x14ac:dyDescent="0.3">
      <c r="A89" s="89"/>
      <c r="B89" s="90" t="s">
        <v>696</v>
      </c>
      <c r="C89" s="89" t="s">
        <v>613</v>
      </c>
      <c r="D89" s="90" t="s">
        <v>625</v>
      </c>
      <c r="E89" s="91">
        <v>44224.954861111109</v>
      </c>
      <c r="F89" s="91">
        <v>44224.957638888889</v>
      </c>
      <c r="G89" s="89" t="s">
        <v>614</v>
      </c>
      <c r="H89" s="89">
        <v>0</v>
      </c>
    </row>
    <row r="90" spans="1:8" x14ac:dyDescent="0.3">
      <c r="A90" s="92"/>
      <c r="B90" s="93" t="s">
        <v>697</v>
      </c>
      <c r="C90" s="92" t="s">
        <v>613</v>
      </c>
      <c r="D90" s="93" t="s">
        <v>629</v>
      </c>
      <c r="E90" s="94">
        <v>44224.965277777781</v>
      </c>
      <c r="F90" s="94">
        <v>44224.966666666667</v>
      </c>
      <c r="G90" s="92" t="s">
        <v>614</v>
      </c>
      <c r="H90" s="92">
        <v>0</v>
      </c>
    </row>
    <row r="91" spans="1:8" x14ac:dyDescent="0.3">
      <c r="A91" s="89"/>
      <c r="B91" s="90" t="s">
        <v>698</v>
      </c>
      <c r="C91" s="89" t="s">
        <v>613</v>
      </c>
      <c r="D91" s="90" t="s">
        <v>628</v>
      </c>
      <c r="E91" s="91">
        <v>44224.965277777781</v>
      </c>
      <c r="F91" s="91">
        <v>44224.966666666667</v>
      </c>
      <c r="G91" s="89" t="s">
        <v>614</v>
      </c>
      <c r="H91" s="89">
        <v>0</v>
      </c>
    </row>
    <row r="92" spans="1:8" x14ac:dyDescent="0.3">
      <c r="A92" s="92"/>
      <c r="B92" s="93" t="s">
        <v>699</v>
      </c>
      <c r="C92" s="92" t="s">
        <v>613</v>
      </c>
      <c r="D92" s="93" t="s">
        <v>630</v>
      </c>
      <c r="E92" s="94">
        <v>44224.96875</v>
      </c>
      <c r="F92" s="94">
        <v>44224.969444444447</v>
      </c>
      <c r="G92" s="92" t="s">
        <v>614</v>
      </c>
      <c r="H92" s="92">
        <v>0</v>
      </c>
    </row>
    <row r="93" spans="1:8" x14ac:dyDescent="0.3">
      <c r="A93" s="89"/>
      <c r="B93" s="90" t="s">
        <v>700</v>
      </c>
      <c r="C93" s="89" t="s">
        <v>613</v>
      </c>
      <c r="D93" s="90" t="s">
        <v>631</v>
      </c>
      <c r="E93" s="91">
        <v>44224.96875</v>
      </c>
      <c r="F93" s="91">
        <v>44224.970138888886</v>
      </c>
      <c r="G93" s="89" t="s">
        <v>614</v>
      </c>
      <c r="H93" s="89">
        <v>0</v>
      </c>
    </row>
    <row r="94" spans="1:8" x14ac:dyDescent="0.3">
      <c r="A94" s="92"/>
      <c r="B94" s="93" t="s">
        <v>701</v>
      </c>
      <c r="C94" s="92" t="s">
        <v>613</v>
      </c>
      <c r="D94" s="93" t="s">
        <v>624</v>
      </c>
      <c r="E94" s="94">
        <v>44224.954861111109</v>
      </c>
      <c r="F94" s="94">
        <v>44224.959027777775</v>
      </c>
      <c r="G94" s="92" t="s">
        <v>614</v>
      </c>
      <c r="H94" s="92">
        <v>0</v>
      </c>
    </row>
    <row r="95" spans="1:8" x14ac:dyDescent="0.3">
      <c r="A95" s="89"/>
      <c r="B95" s="90" t="s">
        <v>702</v>
      </c>
      <c r="C95" s="89" t="s">
        <v>613</v>
      </c>
      <c r="D95" s="90" t="s">
        <v>632</v>
      </c>
      <c r="E95" s="91">
        <v>44224.96875</v>
      </c>
      <c r="F95" s="91">
        <v>44224.970138888886</v>
      </c>
      <c r="G95" s="89" t="s">
        <v>614</v>
      </c>
      <c r="H95" s="89">
        <v>0</v>
      </c>
    </row>
    <row r="96" spans="1:8" x14ac:dyDescent="0.3">
      <c r="A96" s="92"/>
      <c r="B96" s="93" t="s">
        <v>703</v>
      </c>
      <c r="C96" s="92" t="s">
        <v>613</v>
      </c>
      <c r="D96" s="93" t="s">
        <v>633</v>
      </c>
      <c r="E96" s="94">
        <v>44224.972222222219</v>
      </c>
      <c r="F96" s="94">
        <v>44224.972916666666</v>
      </c>
      <c r="G96" s="92" t="s">
        <v>614</v>
      </c>
      <c r="H96" s="92">
        <v>0</v>
      </c>
    </row>
    <row r="97" spans="1:8" x14ac:dyDescent="0.3">
      <c r="A97" s="89"/>
      <c r="B97" s="90" t="s">
        <v>704</v>
      </c>
      <c r="C97" s="89" t="s">
        <v>613</v>
      </c>
      <c r="D97" s="90" t="s">
        <v>634</v>
      </c>
      <c r="E97" s="91">
        <v>44224.972222222219</v>
      </c>
      <c r="F97" s="91">
        <v>44224.973611111112</v>
      </c>
      <c r="G97" s="89" t="s">
        <v>614</v>
      </c>
      <c r="H97" s="89">
        <v>0</v>
      </c>
    </row>
    <row r="98" spans="1:8" x14ac:dyDescent="0.3">
      <c r="A98" s="92"/>
      <c r="B98" s="93" t="s">
        <v>705</v>
      </c>
      <c r="C98" s="92" t="s">
        <v>613</v>
      </c>
      <c r="D98" s="93" t="s">
        <v>617</v>
      </c>
      <c r="E98" s="94">
        <v>44224.947916666664</v>
      </c>
      <c r="F98" s="94">
        <v>44224.959027777775</v>
      </c>
      <c r="G98" s="92" t="s">
        <v>614</v>
      </c>
      <c r="H98" s="92">
        <v>0</v>
      </c>
    </row>
    <row r="99" spans="1:8" x14ac:dyDescent="0.3">
      <c r="A99" s="89"/>
      <c r="B99" s="90" t="s">
        <v>706</v>
      </c>
      <c r="C99" s="89" t="s">
        <v>613</v>
      </c>
      <c r="D99" s="90" t="s">
        <v>618</v>
      </c>
      <c r="E99" s="91">
        <v>44224.947916666664</v>
      </c>
      <c r="F99" s="91">
        <v>44224.95</v>
      </c>
      <c r="G99" s="89" t="s">
        <v>614</v>
      </c>
      <c r="H99" s="89">
        <v>0</v>
      </c>
    </row>
    <row r="100" spans="1:8" x14ac:dyDescent="0.3">
      <c r="A100" s="92"/>
      <c r="B100" s="93" t="s">
        <v>707</v>
      </c>
      <c r="C100" s="92" t="s">
        <v>613</v>
      </c>
      <c r="D100" s="93" t="s">
        <v>619</v>
      </c>
      <c r="E100" s="94">
        <v>44224.947916666664</v>
      </c>
      <c r="F100" s="94">
        <v>44224.95</v>
      </c>
      <c r="G100" s="92" t="s">
        <v>614</v>
      </c>
      <c r="H100" s="92">
        <v>0</v>
      </c>
    </row>
    <row r="101" spans="1:8" x14ac:dyDescent="0.3">
      <c r="A101" s="89"/>
      <c r="B101" s="90" t="s">
        <v>708</v>
      </c>
      <c r="C101" s="89" t="s">
        <v>613</v>
      </c>
      <c r="D101" s="90" t="s">
        <v>623</v>
      </c>
      <c r="E101" s="91">
        <v>44224.954861111109</v>
      </c>
      <c r="F101" s="91">
        <v>44224.957638888889</v>
      </c>
      <c r="G101" s="89" t="s">
        <v>614</v>
      </c>
      <c r="H101" s="89">
        <v>0</v>
      </c>
    </row>
    <row r="102" spans="1:8" x14ac:dyDescent="0.3">
      <c r="A102" s="92"/>
      <c r="B102" s="93" t="s">
        <v>709</v>
      </c>
      <c r="C102" s="92" t="s">
        <v>613</v>
      </c>
      <c r="D102" s="93" t="s">
        <v>635</v>
      </c>
      <c r="E102" s="94">
        <v>44224.972222222219</v>
      </c>
      <c r="F102" s="94">
        <v>44224.972916666666</v>
      </c>
      <c r="G102" s="92" t="s">
        <v>614</v>
      </c>
      <c r="H102" s="92">
        <v>0</v>
      </c>
    </row>
    <row r="103" spans="1:8" x14ac:dyDescent="0.3">
      <c r="A103" s="89"/>
      <c r="B103" s="90" t="s">
        <v>710</v>
      </c>
      <c r="C103" s="89" t="s">
        <v>613</v>
      </c>
      <c r="D103" s="90" t="s">
        <v>620</v>
      </c>
      <c r="E103" s="91">
        <v>44224.951388888891</v>
      </c>
      <c r="F103" s="91">
        <v>44224.953472222223</v>
      </c>
      <c r="G103" s="89" t="s">
        <v>614</v>
      </c>
      <c r="H103" s="89">
        <v>0</v>
      </c>
    </row>
    <row r="104" spans="1:8" x14ac:dyDescent="0.3">
      <c r="A104" s="92"/>
      <c r="B104" s="93" t="s">
        <v>711</v>
      </c>
      <c r="C104" s="92" t="s">
        <v>613</v>
      </c>
      <c r="D104" s="93" t="s">
        <v>621</v>
      </c>
      <c r="E104" s="94">
        <v>44224.951388888891</v>
      </c>
      <c r="F104" s="94">
        <v>44224.953472222223</v>
      </c>
      <c r="G104" s="92" t="s">
        <v>614</v>
      </c>
      <c r="H104" s="92">
        <v>0</v>
      </c>
    </row>
    <row r="105" spans="1:8" x14ac:dyDescent="0.3">
      <c r="A105" s="89"/>
      <c r="B105" s="90" t="s">
        <v>712</v>
      </c>
      <c r="C105" s="89" t="s">
        <v>613</v>
      </c>
      <c r="D105" s="90" t="s">
        <v>622</v>
      </c>
      <c r="E105" s="91">
        <v>44224.951388888891</v>
      </c>
      <c r="F105" s="91">
        <v>44224.952777777777</v>
      </c>
      <c r="G105" s="89" t="s">
        <v>614</v>
      </c>
      <c r="H105" s="89">
        <v>0</v>
      </c>
    </row>
    <row r="106" spans="1:8" x14ac:dyDescent="0.3">
      <c r="A106" s="92"/>
      <c r="B106" s="93" t="s">
        <v>713</v>
      </c>
      <c r="C106" s="92" t="s">
        <v>613</v>
      </c>
      <c r="D106" s="93" t="s">
        <v>636</v>
      </c>
      <c r="E106" s="94">
        <v>44224.975694444445</v>
      </c>
      <c r="F106" s="94">
        <v>44224.976388888892</v>
      </c>
      <c r="G106" s="92" t="s">
        <v>614</v>
      </c>
      <c r="H106" s="92">
        <v>0</v>
      </c>
    </row>
    <row r="107" spans="1:8" x14ac:dyDescent="0.3">
      <c r="A107" s="89"/>
      <c r="B107" s="90" t="s">
        <v>714</v>
      </c>
      <c r="C107" s="89" t="s">
        <v>613</v>
      </c>
      <c r="D107" s="90" t="s">
        <v>637</v>
      </c>
      <c r="E107" s="91">
        <v>44224.975694444445</v>
      </c>
      <c r="F107" s="91">
        <v>44224.976388888892</v>
      </c>
      <c r="G107" s="89" t="s">
        <v>614</v>
      </c>
      <c r="H107" s="89">
        <v>0</v>
      </c>
    </row>
    <row r="108" spans="1:8" x14ac:dyDescent="0.3">
      <c r="A108" s="92"/>
      <c r="B108" s="93" t="s">
        <v>715</v>
      </c>
      <c r="C108" s="92" t="s">
        <v>613</v>
      </c>
      <c r="D108" s="93" t="s">
        <v>638</v>
      </c>
      <c r="E108" s="94">
        <v>44224.975694444445</v>
      </c>
      <c r="F108" s="94">
        <v>44224.976388888892</v>
      </c>
      <c r="G108" s="92" t="s">
        <v>614</v>
      </c>
      <c r="H108" s="92">
        <v>0</v>
      </c>
    </row>
    <row r="109" spans="1:8" x14ac:dyDescent="0.3">
      <c r="A109" s="89"/>
      <c r="B109" s="90" t="s">
        <v>716</v>
      </c>
      <c r="C109" s="89" t="s">
        <v>613</v>
      </c>
      <c r="D109" s="90" t="s">
        <v>626</v>
      </c>
      <c r="E109" s="91">
        <v>44224.954861111109</v>
      </c>
      <c r="F109" s="91">
        <v>44224.957638888889</v>
      </c>
      <c r="G109" s="89" t="s">
        <v>614</v>
      </c>
      <c r="H109" s="89">
        <v>0</v>
      </c>
    </row>
    <row r="110" spans="1:8" x14ac:dyDescent="0.3">
      <c r="A110" s="92"/>
      <c r="B110" s="93" t="s">
        <v>717</v>
      </c>
      <c r="C110" s="92" t="s">
        <v>613</v>
      </c>
      <c r="D110" s="93" t="s">
        <v>627</v>
      </c>
      <c r="E110" s="94">
        <v>44224.965277777781</v>
      </c>
      <c r="F110" s="94">
        <v>44224.966666666667</v>
      </c>
      <c r="G110" s="92" t="s">
        <v>614</v>
      </c>
      <c r="H110" s="92">
        <v>0</v>
      </c>
    </row>
    <row r="111" spans="1:8" x14ac:dyDescent="0.3">
      <c r="A111" s="89"/>
      <c r="B111" s="90" t="s">
        <v>718</v>
      </c>
      <c r="C111" s="89" t="s">
        <v>613</v>
      </c>
      <c r="D111" s="90" t="s">
        <v>625</v>
      </c>
      <c r="E111" s="91">
        <v>44224.954861111109</v>
      </c>
      <c r="F111" s="91">
        <v>44224.958333333336</v>
      </c>
      <c r="G111" s="89" t="s">
        <v>614</v>
      </c>
      <c r="H111" s="89">
        <v>0</v>
      </c>
    </row>
    <row r="112" spans="1:8" x14ac:dyDescent="0.3">
      <c r="A112" s="92"/>
      <c r="B112" s="93" t="s">
        <v>719</v>
      </c>
      <c r="C112" s="92" t="s">
        <v>613</v>
      </c>
      <c r="D112" s="93" t="s">
        <v>629</v>
      </c>
      <c r="E112" s="94">
        <v>44224.965277777781</v>
      </c>
      <c r="F112" s="94">
        <v>44224.966666666667</v>
      </c>
      <c r="G112" s="92" t="s">
        <v>614</v>
      </c>
      <c r="H112" s="92">
        <v>0</v>
      </c>
    </row>
    <row r="113" spans="1:8" x14ac:dyDescent="0.3">
      <c r="A113" s="89"/>
      <c r="B113" s="90" t="s">
        <v>720</v>
      </c>
      <c r="C113" s="89" t="s">
        <v>613</v>
      </c>
      <c r="D113" s="90" t="s">
        <v>628</v>
      </c>
      <c r="E113" s="91">
        <v>44224.965277777781</v>
      </c>
      <c r="F113" s="91">
        <v>44224.966666666667</v>
      </c>
      <c r="G113" s="89" t="s">
        <v>614</v>
      </c>
      <c r="H113" s="89">
        <v>0</v>
      </c>
    </row>
    <row r="114" spans="1:8" x14ac:dyDescent="0.3">
      <c r="A114" s="92"/>
      <c r="B114" s="93" t="s">
        <v>721</v>
      </c>
      <c r="C114" s="92" t="s">
        <v>613</v>
      </c>
      <c r="D114" s="93" t="s">
        <v>630</v>
      </c>
      <c r="E114" s="94">
        <v>44224.96875</v>
      </c>
      <c r="F114" s="94">
        <v>44224.970138888886</v>
      </c>
      <c r="G114" s="92" t="s">
        <v>614</v>
      </c>
      <c r="H114" s="92">
        <v>0</v>
      </c>
    </row>
    <row r="115" spans="1:8" x14ac:dyDescent="0.3">
      <c r="A115" s="89"/>
      <c r="B115" s="90" t="s">
        <v>722</v>
      </c>
      <c r="C115" s="89" t="s">
        <v>613</v>
      </c>
      <c r="D115" s="90" t="s">
        <v>631</v>
      </c>
      <c r="E115" s="91">
        <v>44224.96875</v>
      </c>
      <c r="F115" s="91">
        <v>44224.970138888886</v>
      </c>
      <c r="G115" s="89" t="s">
        <v>614</v>
      </c>
      <c r="H115" s="89">
        <v>0</v>
      </c>
    </row>
    <row r="116" spans="1:8" x14ac:dyDescent="0.3">
      <c r="A116" s="92"/>
      <c r="B116" s="93" t="s">
        <v>723</v>
      </c>
      <c r="C116" s="92" t="s">
        <v>613</v>
      </c>
      <c r="D116" s="93" t="s">
        <v>624</v>
      </c>
      <c r="E116" s="94">
        <v>44224.954861111109</v>
      </c>
      <c r="F116" s="94">
        <v>44224.959027777775</v>
      </c>
      <c r="G116" s="92" t="s">
        <v>614</v>
      </c>
      <c r="H116" s="92">
        <v>0</v>
      </c>
    </row>
    <row r="117" spans="1:8" x14ac:dyDescent="0.3">
      <c r="A117" s="89"/>
      <c r="B117" s="90" t="s">
        <v>724</v>
      </c>
      <c r="C117" s="89" t="s">
        <v>613</v>
      </c>
      <c r="D117" s="90" t="s">
        <v>632</v>
      </c>
      <c r="E117" s="91">
        <v>44224.96875</v>
      </c>
      <c r="F117" s="91">
        <v>44224.970138888886</v>
      </c>
      <c r="G117" s="89" t="s">
        <v>614</v>
      </c>
      <c r="H117" s="89">
        <v>0</v>
      </c>
    </row>
    <row r="118" spans="1:8" x14ac:dyDescent="0.3">
      <c r="A118" s="92"/>
      <c r="B118" s="93" t="s">
        <v>725</v>
      </c>
      <c r="C118" s="92" t="s">
        <v>613</v>
      </c>
      <c r="D118" s="93" t="s">
        <v>633</v>
      </c>
      <c r="E118" s="94">
        <v>44224.972222222219</v>
      </c>
      <c r="F118" s="94">
        <v>44224.973611111112</v>
      </c>
      <c r="G118" s="92" t="s">
        <v>614</v>
      </c>
      <c r="H118" s="92">
        <v>0</v>
      </c>
    </row>
    <row r="119" spans="1:8" x14ac:dyDescent="0.3">
      <c r="A119" s="89"/>
      <c r="B119" s="90" t="s">
        <v>726</v>
      </c>
      <c r="C119" s="89" t="s">
        <v>613</v>
      </c>
      <c r="D119" s="90" t="s">
        <v>634</v>
      </c>
      <c r="E119" s="91">
        <v>44224.972222222219</v>
      </c>
      <c r="F119" s="91">
        <v>44224.973611111112</v>
      </c>
      <c r="G119" s="89" t="s">
        <v>614</v>
      </c>
      <c r="H119" s="89">
        <v>0</v>
      </c>
    </row>
    <row r="120" spans="1:8" x14ac:dyDescent="0.3">
      <c r="A120" s="92"/>
      <c r="B120" s="93" t="s">
        <v>727</v>
      </c>
      <c r="C120" s="92" t="s">
        <v>613</v>
      </c>
      <c r="D120" s="93" t="s">
        <v>617</v>
      </c>
      <c r="E120" s="94">
        <v>44224.947916666664</v>
      </c>
      <c r="F120" s="94">
        <v>44224.95208333333</v>
      </c>
      <c r="G120" s="92" t="s">
        <v>614</v>
      </c>
      <c r="H120" s="92">
        <v>0</v>
      </c>
    </row>
    <row r="121" spans="1:8" x14ac:dyDescent="0.3">
      <c r="A121" s="89"/>
      <c r="B121" s="90" t="s">
        <v>728</v>
      </c>
      <c r="C121" s="89" t="s">
        <v>613</v>
      </c>
      <c r="D121" s="90" t="s">
        <v>618</v>
      </c>
      <c r="E121" s="91">
        <v>44224.947916666664</v>
      </c>
      <c r="F121" s="91">
        <v>44224.949305555558</v>
      </c>
      <c r="G121" s="89" t="s">
        <v>614</v>
      </c>
      <c r="H121" s="89">
        <v>0</v>
      </c>
    </row>
    <row r="122" spans="1:8" x14ac:dyDescent="0.3">
      <c r="A122" s="92"/>
      <c r="B122" s="93" t="s">
        <v>729</v>
      </c>
      <c r="C122" s="92" t="s">
        <v>613</v>
      </c>
      <c r="D122" s="93" t="s">
        <v>619</v>
      </c>
      <c r="E122" s="94">
        <v>44224.947916666664</v>
      </c>
      <c r="F122" s="94">
        <v>44224.949305555558</v>
      </c>
      <c r="G122" s="92" t="s">
        <v>614</v>
      </c>
      <c r="H122" s="92">
        <v>0</v>
      </c>
    </row>
    <row r="123" spans="1:8" x14ac:dyDescent="0.3">
      <c r="A123" s="89"/>
      <c r="B123" s="90" t="s">
        <v>730</v>
      </c>
      <c r="C123" s="89" t="s">
        <v>613</v>
      </c>
      <c r="D123" s="90" t="s">
        <v>623</v>
      </c>
      <c r="E123" s="91">
        <v>44224.954861111109</v>
      </c>
      <c r="F123" s="91">
        <v>44224.957638888889</v>
      </c>
      <c r="G123" s="89" t="s">
        <v>614</v>
      </c>
      <c r="H123" s="89">
        <v>0</v>
      </c>
    </row>
    <row r="124" spans="1:8" x14ac:dyDescent="0.3">
      <c r="A124" s="92"/>
      <c r="B124" s="93" t="s">
        <v>731</v>
      </c>
      <c r="C124" s="92" t="s">
        <v>613</v>
      </c>
      <c r="D124" s="93" t="s">
        <v>635</v>
      </c>
      <c r="E124" s="94">
        <v>44224.972222222219</v>
      </c>
      <c r="F124" s="94">
        <v>44224.972916666666</v>
      </c>
      <c r="G124" s="92" t="s">
        <v>614</v>
      </c>
      <c r="H124" s="92">
        <v>0</v>
      </c>
    </row>
    <row r="125" spans="1:8" x14ac:dyDescent="0.3">
      <c r="A125" s="89"/>
      <c r="B125" s="90" t="s">
        <v>732</v>
      </c>
      <c r="C125" s="89" t="s">
        <v>613</v>
      </c>
      <c r="D125" s="90" t="s">
        <v>620</v>
      </c>
      <c r="E125" s="91">
        <v>44224.951388888891</v>
      </c>
      <c r="F125" s="91">
        <v>44224.953472222223</v>
      </c>
      <c r="G125" s="89" t="s">
        <v>614</v>
      </c>
      <c r="H125" s="89">
        <v>0</v>
      </c>
    </row>
    <row r="126" spans="1:8" x14ac:dyDescent="0.3">
      <c r="A126" s="92"/>
      <c r="B126" s="93" t="s">
        <v>733</v>
      </c>
      <c r="C126" s="92" t="s">
        <v>613</v>
      </c>
      <c r="D126" s="93" t="s">
        <v>621</v>
      </c>
      <c r="E126" s="94">
        <v>44224.951388888891</v>
      </c>
      <c r="F126" s="94">
        <v>44224.952777777777</v>
      </c>
      <c r="G126" s="92" t="s">
        <v>614</v>
      </c>
      <c r="H126" s="92">
        <v>0</v>
      </c>
    </row>
    <row r="127" spans="1:8" x14ac:dyDescent="0.3">
      <c r="A127" s="89"/>
      <c r="B127" s="90" t="s">
        <v>734</v>
      </c>
      <c r="C127" s="89" t="s">
        <v>613</v>
      </c>
      <c r="D127" s="90" t="s">
        <v>622</v>
      </c>
      <c r="E127" s="91">
        <v>44224.951388888891</v>
      </c>
      <c r="F127" s="91">
        <v>44224.952777777777</v>
      </c>
      <c r="G127" s="89" t="s">
        <v>614</v>
      </c>
      <c r="H127" s="89">
        <v>0</v>
      </c>
    </row>
    <row r="128" spans="1:8" x14ac:dyDescent="0.3">
      <c r="A128" s="92"/>
      <c r="B128" s="93" t="s">
        <v>735</v>
      </c>
      <c r="C128" s="92" t="s">
        <v>613</v>
      </c>
      <c r="D128" s="93" t="s">
        <v>636</v>
      </c>
      <c r="E128" s="94">
        <v>44224.975694444445</v>
      </c>
      <c r="F128" s="94">
        <v>44224.976388888892</v>
      </c>
      <c r="G128" s="92" t="s">
        <v>614</v>
      </c>
      <c r="H128" s="92">
        <v>0</v>
      </c>
    </row>
    <row r="129" spans="1:8" x14ac:dyDescent="0.3">
      <c r="A129" s="89"/>
      <c r="B129" s="90" t="s">
        <v>736</v>
      </c>
      <c r="C129" s="89" t="s">
        <v>613</v>
      </c>
      <c r="D129" s="90" t="s">
        <v>637</v>
      </c>
      <c r="E129" s="91">
        <v>44224.975694444445</v>
      </c>
      <c r="F129" s="91">
        <v>44224.976388888892</v>
      </c>
      <c r="G129" s="89" t="s">
        <v>614</v>
      </c>
      <c r="H129" s="89">
        <v>0</v>
      </c>
    </row>
    <row r="130" spans="1:8" x14ac:dyDescent="0.3">
      <c r="A130" s="92"/>
      <c r="B130" s="93" t="s">
        <v>737</v>
      </c>
      <c r="C130" s="92" t="s">
        <v>613</v>
      </c>
      <c r="D130" s="93" t="s">
        <v>638</v>
      </c>
      <c r="E130" s="94">
        <v>44224.975694444445</v>
      </c>
      <c r="F130" s="94">
        <v>44224.976388888892</v>
      </c>
      <c r="G130" s="92" t="s">
        <v>614</v>
      </c>
      <c r="H130" s="92">
        <v>0</v>
      </c>
    </row>
    <row r="131" spans="1:8" x14ac:dyDescent="0.3">
      <c r="A131" s="89"/>
      <c r="B131" s="90" t="s">
        <v>738</v>
      </c>
      <c r="C131" s="89" t="s">
        <v>613</v>
      </c>
      <c r="D131" s="90" t="s">
        <v>626</v>
      </c>
      <c r="E131" s="91">
        <v>44224.954861111109</v>
      </c>
      <c r="F131" s="91">
        <v>44224.956944444442</v>
      </c>
      <c r="G131" s="89" t="s">
        <v>614</v>
      </c>
      <c r="H131" s="89">
        <v>0</v>
      </c>
    </row>
    <row r="132" spans="1:8" x14ac:dyDescent="0.3">
      <c r="A132" s="92"/>
      <c r="B132" s="93" t="s">
        <v>739</v>
      </c>
      <c r="C132" s="92" t="s">
        <v>613</v>
      </c>
      <c r="D132" s="93" t="s">
        <v>627</v>
      </c>
      <c r="E132" s="94">
        <v>44224.965277777781</v>
      </c>
      <c r="F132" s="94">
        <v>44224.966666666667</v>
      </c>
      <c r="G132" s="92" t="s">
        <v>614</v>
      </c>
      <c r="H132" s="92">
        <v>0</v>
      </c>
    </row>
    <row r="133" spans="1:8" x14ac:dyDescent="0.3">
      <c r="A133" s="89"/>
      <c r="B133" s="90" t="s">
        <v>740</v>
      </c>
      <c r="C133" s="89" t="s">
        <v>613</v>
      </c>
      <c r="D133" s="90" t="s">
        <v>625</v>
      </c>
      <c r="E133" s="91">
        <v>44224.954861111109</v>
      </c>
      <c r="F133" s="91">
        <v>44224.957638888889</v>
      </c>
      <c r="G133" s="89" t="s">
        <v>614</v>
      </c>
      <c r="H133" s="89">
        <v>0</v>
      </c>
    </row>
    <row r="134" spans="1:8" x14ac:dyDescent="0.3">
      <c r="A134" s="92"/>
      <c r="B134" s="93" t="s">
        <v>741</v>
      </c>
      <c r="C134" s="92" t="s">
        <v>613</v>
      </c>
      <c r="D134" s="93" t="s">
        <v>629</v>
      </c>
      <c r="E134" s="94">
        <v>44224.965277777781</v>
      </c>
      <c r="F134" s="94">
        <v>44224.96597222222</v>
      </c>
      <c r="G134" s="92" t="s">
        <v>614</v>
      </c>
      <c r="H134" s="92">
        <v>0</v>
      </c>
    </row>
    <row r="135" spans="1:8" x14ac:dyDescent="0.3">
      <c r="A135" s="89"/>
      <c r="B135" s="90" t="s">
        <v>742</v>
      </c>
      <c r="C135" s="89" t="s">
        <v>613</v>
      </c>
      <c r="D135" s="90" t="s">
        <v>628</v>
      </c>
      <c r="E135" s="91">
        <v>44224.965277777781</v>
      </c>
      <c r="F135" s="91">
        <v>44224.966666666667</v>
      </c>
      <c r="G135" s="89" t="s">
        <v>614</v>
      </c>
      <c r="H135" s="89">
        <v>0</v>
      </c>
    </row>
    <row r="136" spans="1:8" x14ac:dyDescent="0.3">
      <c r="A136" s="92"/>
      <c r="B136" s="93" t="s">
        <v>743</v>
      </c>
      <c r="C136" s="92" t="s">
        <v>613</v>
      </c>
      <c r="D136" s="93" t="s">
        <v>630</v>
      </c>
      <c r="E136" s="94">
        <v>44224.96875</v>
      </c>
      <c r="F136" s="94">
        <v>44224.969444444447</v>
      </c>
      <c r="G136" s="92" t="s">
        <v>614</v>
      </c>
      <c r="H136" s="92">
        <v>0</v>
      </c>
    </row>
    <row r="137" spans="1:8" x14ac:dyDescent="0.3">
      <c r="A137" s="89"/>
      <c r="B137" s="90" t="s">
        <v>744</v>
      </c>
      <c r="C137" s="89" t="s">
        <v>613</v>
      </c>
      <c r="D137" s="90" t="s">
        <v>631</v>
      </c>
      <c r="E137" s="91">
        <v>44224.96875</v>
      </c>
      <c r="F137" s="91">
        <v>44224.970138888886</v>
      </c>
      <c r="G137" s="89" t="s">
        <v>614</v>
      </c>
      <c r="H137" s="89">
        <v>0</v>
      </c>
    </row>
    <row r="138" spans="1:8" x14ac:dyDescent="0.3">
      <c r="A138" s="92"/>
      <c r="B138" s="93" t="s">
        <v>745</v>
      </c>
      <c r="C138" s="92" t="s">
        <v>613</v>
      </c>
      <c r="D138" s="93" t="s">
        <v>624</v>
      </c>
      <c r="E138" s="94">
        <v>44224.954861111109</v>
      </c>
      <c r="F138" s="94">
        <v>44224.959027777775</v>
      </c>
      <c r="G138" s="92" t="s">
        <v>614</v>
      </c>
      <c r="H138" s="92">
        <v>0</v>
      </c>
    </row>
    <row r="139" spans="1:8" x14ac:dyDescent="0.3">
      <c r="A139" s="89"/>
      <c r="B139" s="90" t="s">
        <v>746</v>
      </c>
      <c r="C139" s="89" t="s">
        <v>613</v>
      </c>
      <c r="D139" s="90" t="s">
        <v>632</v>
      </c>
      <c r="E139" s="91">
        <v>44224.96875</v>
      </c>
      <c r="F139" s="91">
        <v>44224.970138888886</v>
      </c>
      <c r="G139" s="89" t="s">
        <v>614</v>
      </c>
      <c r="H139" s="89">
        <v>0</v>
      </c>
    </row>
    <row r="140" spans="1:8" x14ac:dyDescent="0.3">
      <c r="A140" s="92"/>
      <c r="B140" s="93" t="s">
        <v>747</v>
      </c>
      <c r="C140" s="92" t="s">
        <v>613</v>
      </c>
      <c r="D140" s="93" t="s">
        <v>633</v>
      </c>
      <c r="E140" s="94">
        <v>44224.972222222219</v>
      </c>
      <c r="F140" s="94">
        <v>44224.972916666666</v>
      </c>
      <c r="G140" s="92" t="s">
        <v>614</v>
      </c>
      <c r="H140" s="92">
        <v>0</v>
      </c>
    </row>
    <row r="141" spans="1:8" x14ac:dyDescent="0.3">
      <c r="A141" s="89"/>
      <c r="B141" s="90" t="s">
        <v>748</v>
      </c>
      <c r="C141" s="89" t="s">
        <v>613</v>
      </c>
      <c r="D141" s="90" t="s">
        <v>634</v>
      </c>
      <c r="E141" s="91">
        <v>44224.972222222219</v>
      </c>
      <c r="F141" s="91">
        <v>44224.973611111112</v>
      </c>
      <c r="G141" s="89" t="s">
        <v>614</v>
      </c>
      <c r="H141" s="89">
        <v>0</v>
      </c>
    </row>
    <row r="142" spans="1:8" x14ac:dyDescent="0.3">
      <c r="A142" s="92"/>
      <c r="B142" s="93" t="s">
        <v>749</v>
      </c>
      <c r="C142" s="92" t="s">
        <v>613</v>
      </c>
      <c r="D142" s="93" t="s">
        <v>617</v>
      </c>
      <c r="E142" s="94">
        <v>44224.947916666664</v>
      </c>
      <c r="F142" s="94">
        <v>44224.949305555558</v>
      </c>
      <c r="G142" s="92" t="s">
        <v>614</v>
      </c>
      <c r="H142" s="92">
        <v>0</v>
      </c>
    </row>
    <row r="143" spans="1:8" x14ac:dyDescent="0.3">
      <c r="A143" s="89"/>
      <c r="B143" s="90" t="s">
        <v>750</v>
      </c>
      <c r="C143" s="89" t="s">
        <v>613</v>
      </c>
      <c r="D143" s="90" t="s">
        <v>618</v>
      </c>
      <c r="E143" s="91">
        <v>44224.947916666664</v>
      </c>
      <c r="F143" s="91">
        <v>44224.949305555558</v>
      </c>
      <c r="G143" s="89" t="s">
        <v>614</v>
      </c>
      <c r="H143" s="89">
        <v>0</v>
      </c>
    </row>
    <row r="144" spans="1:8" x14ac:dyDescent="0.3">
      <c r="A144" s="92"/>
      <c r="B144" s="93" t="s">
        <v>751</v>
      </c>
      <c r="C144" s="92" t="s">
        <v>613</v>
      </c>
      <c r="D144" s="93" t="s">
        <v>619</v>
      </c>
      <c r="E144" s="94">
        <v>44224.947916666664</v>
      </c>
      <c r="F144" s="94">
        <v>44224.949305555558</v>
      </c>
      <c r="G144" s="92" t="s">
        <v>614</v>
      </c>
      <c r="H144" s="92">
        <v>0</v>
      </c>
    </row>
    <row r="145" spans="1:8" x14ac:dyDescent="0.3">
      <c r="A145" s="89"/>
      <c r="B145" s="90" t="s">
        <v>752</v>
      </c>
      <c r="C145" s="89" t="s">
        <v>613</v>
      </c>
      <c r="D145" s="90" t="s">
        <v>623</v>
      </c>
      <c r="E145" s="91">
        <v>44224.954861111109</v>
      </c>
      <c r="F145" s="91">
        <v>44224.956944444442</v>
      </c>
      <c r="G145" s="89" t="s">
        <v>614</v>
      </c>
      <c r="H145" s="89">
        <v>0</v>
      </c>
    </row>
    <row r="146" spans="1:8" x14ac:dyDescent="0.3">
      <c r="A146" s="92"/>
      <c r="B146" s="93" t="s">
        <v>753</v>
      </c>
      <c r="C146" s="92" t="s">
        <v>613</v>
      </c>
      <c r="D146" s="93" t="s">
        <v>635</v>
      </c>
      <c r="E146" s="94">
        <v>44224.972222222219</v>
      </c>
      <c r="F146" s="94">
        <v>44224.972916666666</v>
      </c>
      <c r="G146" s="92" t="s">
        <v>614</v>
      </c>
      <c r="H146" s="92">
        <v>0</v>
      </c>
    </row>
    <row r="147" spans="1:8" x14ac:dyDescent="0.3">
      <c r="A147" s="89"/>
      <c r="B147" s="90" t="s">
        <v>754</v>
      </c>
      <c r="C147" s="89" t="s">
        <v>613</v>
      </c>
      <c r="D147" s="90" t="s">
        <v>620</v>
      </c>
      <c r="E147" s="91">
        <v>44224.951388888891</v>
      </c>
      <c r="F147" s="91">
        <v>44224.953472222223</v>
      </c>
      <c r="G147" s="89" t="s">
        <v>614</v>
      </c>
      <c r="H147" s="89">
        <v>0</v>
      </c>
    </row>
    <row r="148" spans="1:8" x14ac:dyDescent="0.3">
      <c r="A148" s="92"/>
      <c r="B148" s="93" t="s">
        <v>755</v>
      </c>
      <c r="C148" s="92" t="s">
        <v>613</v>
      </c>
      <c r="D148" s="93" t="s">
        <v>621</v>
      </c>
      <c r="E148" s="94">
        <v>44224.951388888891</v>
      </c>
      <c r="F148" s="94">
        <v>44224.952777777777</v>
      </c>
      <c r="G148" s="92" t="s">
        <v>614</v>
      </c>
      <c r="H148" s="92">
        <v>0</v>
      </c>
    </row>
    <row r="149" spans="1:8" x14ac:dyDescent="0.3">
      <c r="A149" s="89"/>
      <c r="B149" s="90" t="s">
        <v>756</v>
      </c>
      <c r="C149" s="89" t="s">
        <v>613</v>
      </c>
      <c r="D149" s="90" t="s">
        <v>622</v>
      </c>
      <c r="E149" s="91">
        <v>44224.951388888891</v>
      </c>
      <c r="F149" s="91">
        <v>44224.952777777777</v>
      </c>
      <c r="G149" s="89" t="s">
        <v>614</v>
      </c>
      <c r="H149" s="89">
        <v>0</v>
      </c>
    </row>
    <row r="150" spans="1:8" x14ac:dyDescent="0.3">
      <c r="A150" s="92"/>
      <c r="B150" s="93" t="s">
        <v>757</v>
      </c>
      <c r="C150" s="92" t="s">
        <v>613</v>
      </c>
      <c r="D150" s="93" t="s">
        <v>636</v>
      </c>
      <c r="E150" s="94">
        <v>44224.975694444445</v>
      </c>
      <c r="F150" s="94">
        <v>44224.976388888892</v>
      </c>
      <c r="G150" s="92" t="s">
        <v>614</v>
      </c>
      <c r="H150" s="92">
        <v>0</v>
      </c>
    </row>
    <row r="151" spans="1:8" x14ac:dyDescent="0.3">
      <c r="A151" s="89"/>
      <c r="B151" s="90" t="s">
        <v>758</v>
      </c>
      <c r="C151" s="89" t="s">
        <v>613</v>
      </c>
      <c r="D151" s="90" t="s">
        <v>637</v>
      </c>
      <c r="E151" s="91">
        <v>44224.975694444445</v>
      </c>
      <c r="F151" s="91">
        <v>44224.976388888892</v>
      </c>
      <c r="G151" s="89" t="s">
        <v>614</v>
      </c>
      <c r="H151" s="89">
        <v>0</v>
      </c>
    </row>
    <row r="152" spans="1:8" x14ac:dyDescent="0.3">
      <c r="A152" s="92"/>
      <c r="B152" s="93" t="s">
        <v>759</v>
      </c>
      <c r="C152" s="92" t="s">
        <v>613</v>
      </c>
      <c r="D152" s="93" t="s">
        <v>638</v>
      </c>
      <c r="E152" s="94">
        <v>44224.975694444445</v>
      </c>
      <c r="F152" s="94">
        <v>44224.976388888892</v>
      </c>
      <c r="G152" s="92" t="s">
        <v>614</v>
      </c>
      <c r="H152" s="92">
        <v>0</v>
      </c>
    </row>
    <row r="153" spans="1:8" x14ac:dyDescent="0.3">
      <c r="A153" s="89"/>
      <c r="B153" s="90" t="s">
        <v>760</v>
      </c>
      <c r="C153" s="89" t="s">
        <v>613</v>
      </c>
      <c r="D153" s="90" t="s">
        <v>626</v>
      </c>
      <c r="E153" s="91">
        <v>44224.954861111109</v>
      </c>
      <c r="F153" s="91">
        <v>44224.956944444442</v>
      </c>
      <c r="G153" s="89" t="s">
        <v>614</v>
      </c>
      <c r="H153" s="89">
        <v>0</v>
      </c>
    </row>
    <row r="154" spans="1:8" x14ac:dyDescent="0.3">
      <c r="A154" s="92"/>
      <c r="B154" s="93" t="s">
        <v>761</v>
      </c>
      <c r="C154" s="92" t="s">
        <v>613</v>
      </c>
      <c r="D154" s="93" t="s">
        <v>627</v>
      </c>
      <c r="E154" s="94">
        <v>44224.965277777781</v>
      </c>
      <c r="F154" s="94">
        <v>44224.966666666667</v>
      </c>
      <c r="G154" s="92" t="s">
        <v>614</v>
      </c>
      <c r="H154" s="92">
        <v>0</v>
      </c>
    </row>
    <row r="155" spans="1:8" x14ac:dyDescent="0.3">
      <c r="A155" s="89"/>
      <c r="B155" s="90" t="s">
        <v>762</v>
      </c>
      <c r="C155" s="89" t="s">
        <v>613</v>
      </c>
      <c r="D155" s="90" t="s">
        <v>625</v>
      </c>
      <c r="E155" s="91">
        <v>44224.954861111109</v>
      </c>
      <c r="F155" s="91">
        <v>44224.957638888889</v>
      </c>
      <c r="G155" s="89" t="s">
        <v>614</v>
      </c>
      <c r="H155" s="89">
        <v>0</v>
      </c>
    </row>
    <row r="156" spans="1:8" x14ac:dyDescent="0.3">
      <c r="A156" s="92"/>
      <c r="B156" s="93" t="s">
        <v>763</v>
      </c>
      <c r="C156" s="92" t="s">
        <v>613</v>
      </c>
      <c r="D156" s="93" t="s">
        <v>629</v>
      </c>
      <c r="E156" s="94">
        <v>44224.965277777781</v>
      </c>
      <c r="F156" s="94">
        <v>44224.96597222222</v>
      </c>
      <c r="G156" s="92" t="s">
        <v>614</v>
      </c>
      <c r="H156" s="92">
        <v>0</v>
      </c>
    </row>
    <row r="157" spans="1:8" x14ac:dyDescent="0.3">
      <c r="A157" s="89"/>
      <c r="B157" s="90" t="s">
        <v>764</v>
      </c>
      <c r="C157" s="89" t="s">
        <v>613</v>
      </c>
      <c r="D157" s="90" t="s">
        <v>628</v>
      </c>
      <c r="E157" s="91">
        <v>44224.965277777781</v>
      </c>
      <c r="F157" s="91">
        <v>44224.966666666667</v>
      </c>
      <c r="G157" s="89" t="s">
        <v>614</v>
      </c>
      <c r="H157" s="89">
        <v>0</v>
      </c>
    </row>
    <row r="158" spans="1:8" x14ac:dyDescent="0.3">
      <c r="A158" s="92"/>
      <c r="B158" s="93" t="s">
        <v>765</v>
      </c>
      <c r="C158" s="92" t="s">
        <v>613</v>
      </c>
      <c r="D158" s="93" t="s">
        <v>630</v>
      </c>
      <c r="E158" s="94">
        <v>44224.96875</v>
      </c>
      <c r="F158" s="94">
        <v>44224.970138888886</v>
      </c>
      <c r="G158" s="92" t="s">
        <v>614</v>
      </c>
      <c r="H158" s="92">
        <v>0</v>
      </c>
    </row>
    <row r="159" spans="1:8" x14ac:dyDescent="0.3">
      <c r="A159" s="89"/>
      <c r="B159" s="90" t="s">
        <v>766</v>
      </c>
      <c r="C159" s="89" t="s">
        <v>613</v>
      </c>
      <c r="D159" s="90" t="s">
        <v>631</v>
      </c>
      <c r="E159" s="91">
        <v>44224.96875</v>
      </c>
      <c r="F159" s="91">
        <v>44224.970138888886</v>
      </c>
      <c r="G159" s="89" t="s">
        <v>614</v>
      </c>
      <c r="H159" s="89">
        <v>0</v>
      </c>
    </row>
    <row r="160" spans="1:8" x14ac:dyDescent="0.3">
      <c r="A160" s="92"/>
      <c r="B160" s="93" t="s">
        <v>767</v>
      </c>
      <c r="C160" s="92" t="s">
        <v>613</v>
      </c>
      <c r="D160" s="93" t="s">
        <v>624</v>
      </c>
      <c r="E160" s="94">
        <v>44224.954861111109</v>
      </c>
      <c r="F160" s="94">
        <v>44224.957638888889</v>
      </c>
      <c r="G160" s="92" t="s">
        <v>614</v>
      </c>
      <c r="H160" s="92">
        <v>0</v>
      </c>
    </row>
    <row r="161" spans="1:8" x14ac:dyDescent="0.3">
      <c r="A161" s="89"/>
      <c r="B161" s="90" t="s">
        <v>768</v>
      </c>
      <c r="C161" s="89" t="s">
        <v>613</v>
      </c>
      <c r="D161" s="90" t="s">
        <v>632</v>
      </c>
      <c r="E161" s="91">
        <v>44224.96875</v>
      </c>
      <c r="F161" s="91">
        <v>44224.970138888886</v>
      </c>
      <c r="G161" s="89" t="s">
        <v>614</v>
      </c>
      <c r="H161" s="89">
        <v>0</v>
      </c>
    </row>
    <row r="162" spans="1:8" x14ac:dyDescent="0.3">
      <c r="A162" s="92"/>
      <c r="B162" s="93" t="s">
        <v>769</v>
      </c>
      <c r="C162" s="92" t="s">
        <v>613</v>
      </c>
      <c r="D162" s="93" t="s">
        <v>633</v>
      </c>
      <c r="E162" s="94">
        <v>44224.972222222219</v>
      </c>
      <c r="F162" s="94">
        <v>44224.972916666666</v>
      </c>
      <c r="G162" s="92" t="s">
        <v>614</v>
      </c>
      <c r="H162" s="92">
        <v>0</v>
      </c>
    </row>
    <row r="163" spans="1:8" x14ac:dyDescent="0.3">
      <c r="A163" s="89"/>
      <c r="B163" s="90" t="s">
        <v>770</v>
      </c>
      <c r="C163" s="89" t="s">
        <v>613</v>
      </c>
      <c r="D163" s="90" t="s">
        <v>634</v>
      </c>
      <c r="E163" s="91">
        <v>44224.972222222219</v>
      </c>
      <c r="F163" s="91">
        <v>44224.972916666666</v>
      </c>
      <c r="G163" s="89" t="s">
        <v>614</v>
      </c>
      <c r="H163" s="89">
        <v>0</v>
      </c>
    </row>
    <row r="164" spans="1:8" x14ac:dyDescent="0.3">
      <c r="A164" s="92"/>
      <c r="B164" s="93" t="s">
        <v>771</v>
      </c>
      <c r="C164" s="92" t="s">
        <v>613</v>
      </c>
      <c r="D164" s="93" t="s">
        <v>617</v>
      </c>
      <c r="E164" s="94">
        <v>44224.947916666664</v>
      </c>
      <c r="F164" s="94">
        <v>44224.950694444444</v>
      </c>
      <c r="G164" s="92" t="s">
        <v>614</v>
      </c>
      <c r="H164" s="92">
        <v>0</v>
      </c>
    </row>
    <row r="165" spans="1:8" x14ac:dyDescent="0.3">
      <c r="A165" s="89"/>
      <c r="B165" s="90" t="s">
        <v>772</v>
      </c>
      <c r="C165" s="89" t="s">
        <v>613</v>
      </c>
      <c r="D165" s="90" t="s">
        <v>618</v>
      </c>
      <c r="E165" s="91">
        <v>44224.947916666664</v>
      </c>
      <c r="F165" s="91">
        <v>44224.949305555558</v>
      </c>
      <c r="G165" s="89" t="s">
        <v>614</v>
      </c>
      <c r="H165" s="89">
        <v>0</v>
      </c>
    </row>
    <row r="166" spans="1:8" x14ac:dyDescent="0.3">
      <c r="A166" s="92"/>
      <c r="B166" s="93" t="s">
        <v>773</v>
      </c>
      <c r="C166" s="92" t="s">
        <v>613</v>
      </c>
      <c r="D166" s="93" t="s">
        <v>619</v>
      </c>
      <c r="E166" s="94">
        <v>44224.947916666664</v>
      </c>
      <c r="F166" s="94">
        <v>44224.949305555558</v>
      </c>
      <c r="G166" s="92" t="s">
        <v>614</v>
      </c>
      <c r="H166" s="92">
        <v>0</v>
      </c>
    </row>
    <row r="167" spans="1:8" x14ac:dyDescent="0.3">
      <c r="A167" s="89"/>
      <c r="B167" s="90" t="s">
        <v>774</v>
      </c>
      <c r="C167" s="89" t="s">
        <v>613</v>
      </c>
      <c r="D167" s="90" t="s">
        <v>623</v>
      </c>
      <c r="E167" s="91">
        <v>44224.954861111109</v>
      </c>
      <c r="F167" s="91">
        <v>44224.957638888889</v>
      </c>
      <c r="G167" s="89" t="s">
        <v>614</v>
      </c>
      <c r="H167" s="89">
        <v>0</v>
      </c>
    </row>
    <row r="168" spans="1:8" x14ac:dyDescent="0.3">
      <c r="A168" s="92"/>
      <c r="B168" s="93" t="s">
        <v>775</v>
      </c>
      <c r="C168" s="92" t="s">
        <v>613</v>
      </c>
      <c r="D168" s="93" t="s">
        <v>635</v>
      </c>
      <c r="E168" s="94">
        <v>44224.972222222219</v>
      </c>
      <c r="F168" s="94">
        <v>44224.973611111112</v>
      </c>
      <c r="G168" s="92" t="s">
        <v>614</v>
      </c>
      <c r="H168" s="92">
        <v>0</v>
      </c>
    </row>
    <row r="169" spans="1:8" x14ac:dyDescent="0.3">
      <c r="A169" s="89"/>
      <c r="B169" s="90" t="s">
        <v>776</v>
      </c>
      <c r="C169" s="89" t="s">
        <v>613</v>
      </c>
      <c r="D169" s="90" t="s">
        <v>620</v>
      </c>
      <c r="E169" s="91">
        <v>44224.951388888891</v>
      </c>
      <c r="F169" s="91">
        <v>44224.953472222223</v>
      </c>
      <c r="G169" s="89" t="s">
        <v>614</v>
      </c>
      <c r="H169" s="89">
        <v>0</v>
      </c>
    </row>
    <row r="170" spans="1:8" x14ac:dyDescent="0.3">
      <c r="A170" s="92"/>
      <c r="B170" s="93" t="s">
        <v>777</v>
      </c>
      <c r="C170" s="92" t="s">
        <v>613</v>
      </c>
      <c r="D170" s="93" t="s">
        <v>621</v>
      </c>
      <c r="E170" s="94">
        <v>44224.951388888891</v>
      </c>
      <c r="F170" s="94">
        <v>44224.952777777777</v>
      </c>
      <c r="G170" s="92" t="s">
        <v>614</v>
      </c>
      <c r="H170" s="92">
        <v>0</v>
      </c>
    </row>
    <row r="171" spans="1:8" x14ac:dyDescent="0.3">
      <c r="A171" s="89"/>
      <c r="B171" s="90" t="s">
        <v>778</v>
      </c>
      <c r="C171" s="89" t="s">
        <v>613</v>
      </c>
      <c r="D171" s="90" t="s">
        <v>622</v>
      </c>
      <c r="E171" s="91">
        <v>44224.951388888891</v>
      </c>
      <c r="F171" s="91">
        <v>44224.952777777777</v>
      </c>
      <c r="G171" s="89" t="s">
        <v>614</v>
      </c>
      <c r="H171" s="89">
        <v>0</v>
      </c>
    </row>
    <row r="172" spans="1:8" x14ac:dyDescent="0.3">
      <c r="A172" s="92"/>
      <c r="B172" s="93" t="s">
        <v>779</v>
      </c>
      <c r="C172" s="92" t="s">
        <v>613</v>
      </c>
      <c r="D172" s="93" t="s">
        <v>636</v>
      </c>
      <c r="E172" s="94">
        <v>44224.975694444445</v>
      </c>
      <c r="F172" s="94">
        <v>44224.976388888892</v>
      </c>
      <c r="G172" s="92" t="s">
        <v>614</v>
      </c>
      <c r="H172" s="92">
        <v>0</v>
      </c>
    </row>
    <row r="173" spans="1:8" x14ac:dyDescent="0.3">
      <c r="A173" s="89"/>
      <c r="B173" s="90" t="s">
        <v>780</v>
      </c>
      <c r="C173" s="89" t="s">
        <v>613</v>
      </c>
      <c r="D173" s="90" t="s">
        <v>637</v>
      </c>
      <c r="E173" s="91">
        <v>44224.975694444445</v>
      </c>
      <c r="F173" s="91">
        <v>44224.976388888892</v>
      </c>
      <c r="G173" s="89" t="s">
        <v>614</v>
      </c>
      <c r="H173" s="89">
        <v>0</v>
      </c>
    </row>
    <row r="174" spans="1:8" x14ac:dyDescent="0.3">
      <c r="A174" s="92"/>
      <c r="B174" s="93" t="s">
        <v>781</v>
      </c>
      <c r="C174" s="92" t="s">
        <v>613</v>
      </c>
      <c r="D174" s="93" t="s">
        <v>638</v>
      </c>
      <c r="E174" s="94">
        <v>44224.975694444445</v>
      </c>
      <c r="F174" s="94">
        <v>44224.977083333331</v>
      </c>
      <c r="G174" s="92" t="s">
        <v>614</v>
      </c>
      <c r="H174" s="92">
        <v>0</v>
      </c>
    </row>
    <row r="175" spans="1:8" x14ac:dyDescent="0.3">
      <c r="A175" s="89"/>
      <c r="B175" s="90" t="s">
        <v>782</v>
      </c>
      <c r="C175" s="89" t="s">
        <v>613</v>
      </c>
      <c r="D175" s="90" t="s">
        <v>626</v>
      </c>
      <c r="E175" s="91">
        <v>44224.954861111109</v>
      </c>
      <c r="F175" s="91">
        <v>44224.956944444442</v>
      </c>
      <c r="G175" s="89" t="s">
        <v>614</v>
      </c>
      <c r="H175" s="89">
        <v>0</v>
      </c>
    </row>
    <row r="176" spans="1:8" x14ac:dyDescent="0.3">
      <c r="A176" s="92"/>
      <c r="B176" s="93" t="s">
        <v>783</v>
      </c>
      <c r="C176" s="92" t="s">
        <v>613</v>
      </c>
      <c r="D176" s="93" t="s">
        <v>627</v>
      </c>
      <c r="E176" s="94">
        <v>44224.965277777781</v>
      </c>
      <c r="F176" s="94">
        <v>44224.966666666667</v>
      </c>
      <c r="G176" s="92" t="s">
        <v>614</v>
      </c>
      <c r="H176" s="92">
        <v>0</v>
      </c>
    </row>
    <row r="177" spans="1:8" x14ac:dyDescent="0.3">
      <c r="A177" s="89"/>
      <c r="B177" s="90" t="s">
        <v>784</v>
      </c>
      <c r="C177" s="89" t="s">
        <v>613</v>
      </c>
      <c r="D177" s="90" t="s">
        <v>625</v>
      </c>
      <c r="E177" s="91">
        <v>44224.954861111109</v>
      </c>
      <c r="F177" s="91">
        <v>44224.957638888889</v>
      </c>
      <c r="G177" s="89" t="s">
        <v>614</v>
      </c>
      <c r="H177" s="89">
        <v>0</v>
      </c>
    </row>
    <row r="178" spans="1:8" x14ac:dyDescent="0.3">
      <c r="A178" s="92"/>
      <c r="B178" s="93" t="s">
        <v>785</v>
      </c>
      <c r="C178" s="92" t="s">
        <v>613</v>
      </c>
      <c r="D178" s="93" t="s">
        <v>629</v>
      </c>
      <c r="E178" s="94">
        <v>44224.965277777781</v>
      </c>
      <c r="F178" s="94">
        <v>44224.966666666667</v>
      </c>
      <c r="G178" s="92" t="s">
        <v>614</v>
      </c>
      <c r="H178" s="92">
        <v>0</v>
      </c>
    </row>
    <row r="179" spans="1:8" x14ac:dyDescent="0.3">
      <c r="A179" s="89"/>
      <c r="B179" s="90" t="s">
        <v>786</v>
      </c>
      <c r="C179" s="89" t="s">
        <v>613</v>
      </c>
      <c r="D179" s="90" t="s">
        <v>628</v>
      </c>
      <c r="E179" s="91">
        <v>44224.965277777781</v>
      </c>
      <c r="F179" s="91">
        <v>44224.966666666667</v>
      </c>
      <c r="G179" s="89" t="s">
        <v>614</v>
      </c>
      <c r="H179" s="89">
        <v>0</v>
      </c>
    </row>
    <row r="180" spans="1:8" x14ac:dyDescent="0.3">
      <c r="A180" s="92"/>
      <c r="B180" s="93" t="s">
        <v>787</v>
      </c>
      <c r="C180" s="92" t="s">
        <v>613</v>
      </c>
      <c r="D180" s="93" t="s">
        <v>630</v>
      </c>
      <c r="E180" s="94">
        <v>44224.96875</v>
      </c>
      <c r="F180" s="94">
        <v>44224.970138888886</v>
      </c>
      <c r="G180" s="92" t="s">
        <v>614</v>
      </c>
      <c r="H180" s="92">
        <v>0</v>
      </c>
    </row>
    <row r="181" spans="1:8" x14ac:dyDescent="0.3">
      <c r="A181" s="89"/>
      <c r="B181" s="90" t="s">
        <v>788</v>
      </c>
      <c r="C181" s="89" t="s">
        <v>613</v>
      </c>
      <c r="D181" s="90" t="s">
        <v>631</v>
      </c>
      <c r="E181" s="91">
        <v>44224.96875</v>
      </c>
      <c r="F181" s="91">
        <v>44224.970138888886</v>
      </c>
      <c r="G181" s="89" t="s">
        <v>614</v>
      </c>
      <c r="H181" s="89">
        <v>0</v>
      </c>
    </row>
    <row r="182" spans="1:8" x14ac:dyDescent="0.3">
      <c r="A182" s="92"/>
      <c r="B182" s="93" t="s">
        <v>789</v>
      </c>
      <c r="C182" s="92" t="s">
        <v>613</v>
      </c>
      <c r="D182" s="93" t="s">
        <v>624</v>
      </c>
      <c r="E182" s="94">
        <v>44224.954861111109</v>
      </c>
      <c r="F182" s="94">
        <v>44224.958333333336</v>
      </c>
      <c r="G182" s="92" t="s">
        <v>614</v>
      </c>
      <c r="H182" s="92">
        <v>0</v>
      </c>
    </row>
    <row r="183" spans="1:8" x14ac:dyDescent="0.3">
      <c r="A183" s="89"/>
      <c r="B183" s="90" t="s">
        <v>790</v>
      </c>
      <c r="C183" s="89" t="s">
        <v>613</v>
      </c>
      <c r="D183" s="90" t="s">
        <v>632</v>
      </c>
      <c r="E183" s="91">
        <v>44224.96875</v>
      </c>
      <c r="F183" s="91">
        <v>44224.970138888886</v>
      </c>
      <c r="G183" s="89" t="s">
        <v>614</v>
      </c>
      <c r="H183" s="89">
        <v>0</v>
      </c>
    </row>
    <row r="184" spans="1:8" x14ac:dyDescent="0.3">
      <c r="A184" s="92"/>
      <c r="B184" s="93" t="s">
        <v>791</v>
      </c>
      <c r="C184" s="92" t="s">
        <v>613</v>
      </c>
      <c r="D184" s="93" t="s">
        <v>633</v>
      </c>
      <c r="E184" s="94">
        <v>44224.972222222219</v>
      </c>
      <c r="F184" s="94">
        <v>44224.972916666666</v>
      </c>
      <c r="G184" s="92" t="s">
        <v>614</v>
      </c>
      <c r="H184" s="92">
        <v>0</v>
      </c>
    </row>
    <row r="185" spans="1:8" x14ac:dyDescent="0.3">
      <c r="A185" s="89"/>
      <c r="B185" s="90" t="s">
        <v>792</v>
      </c>
      <c r="C185" s="89" t="s">
        <v>613</v>
      </c>
      <c r="D185" s="90" t="s">
        <v>634</v>
      </c>
      <c r="E185" s="91">
        <v>44224.972222222219</v>
      </c>
      <c r="F185" s="91">
        <v>44224.973611111112</v>
      </c>
      <c r="G185" s="89" t="s">
        <v>614</v>
      </c>
      <c r="H185" s="89">
        <v>0</v>
      </c>
    </row>
    <row r="186" spans="1:8" x14ac:dyDescent="0.3">
      <c r="A186" s="92"/>
      <c r="B186" s="93" t="s">
        <v>793</v>
      </c>
      <c r="C186" s="92" t="s">
        <v>613</v>
      </c>
      <c r="D186" s="93" t="s">
        <v>617</v>
      </c>
      <c r="E186" s="94">
        <v>44224.947916666664</v>
      </c>
      <c r="F186" s="94">
        <v>44224.959722222222</v>
      </c>
      <c r="G186" s="92" t="s">
        <v>614</v>
      </c>
      <c r="H186" s="92">
        <v>0</v>
      </c>
    </row>
    <row r="187" spans="1:8" x14ac:dyDescent="0.3">
      <c r="A187" s="89"/>
      <c r="B187" s="90" t="s">
        <v>794</v>
      </c>
      <c r="C187" s="89" t="s">
        <v>613</v>
      </c>
      <c r="D187" s="90" t="s">
        <v>618</v>
      </c>
      <c r="E187" s="91">
        <v>44224.947916666664</v>
      </c>
      <c r="F187" s="91">
        <v>44224.95</v>
      </c>
      <c r="G187" s="89" t="s">
        <v>614</v>
      </c>
      <c r="H187" s="89">
        <v>0</v>
      </c>
    </row>
    <row r="188" spans="1:8" x14ac:dyDescent="0.3">
      <c r="A188" s="92"/>
      <c r="B188" s="93" t="s">
        <v>795</v>
      </c>
      <c r="C188" s="92" t="s">
        <v>613</v>
      </c>
      <c r="D188" s="93" t="s">
        <v>619</v>
      </c>
      <c r="E188" s="94">
        <v>44224.947916666664</v>
      </c>
      <c r="F188" s="94">
        <v>44224.95</v>
      </c>
      <c r="G188" s="92" t="s">
        <v>614</v>
      </c>
      <c r="H188" s="92">
        <v>0</v>
      </c>
    </row>
    <row r="189" spans="1:8" x14ac:dyDescent="0.3">
      <c r="A189" s="89"/>
      <c r="B189" s="90" t="s">
        <v>796</v>
      </c>
      <c r="C189" s="89" t="s">
        <v>613</v>
      </c>
      <c r="D189" s="90" t="s">
        <v>623</v>
      </c>
      <c r="E189" s="91">
        <v>44224.954861111109</v>
      </c>
      <c r="F189" s="91">
        <v>44224.957638888889</v>
      </c>
      <c r="G189" s="89" t="s">
        <v>614</v>
      </c>
      <c r="H189" s="89">
        <v>0</v>
      </c>
    </row>
    <row r="190" spans="1:8" x14ac:dyDescent="0.3">
      <c r="A190" s="92"/>
      <c r="B190" s="93" t="s">
        <v>797</v>
      </c>
      <c r="C190" s="92" t="s">
        <v>613</v>
      </c>
      <c r="D190" s="93" t="s">
        <v>635</v>
      </c>
      <c r="E190" s="94">
        <v>44224.972222222219</v>
      </c>
      <c r="F190" s="94">
        <v>44224.973611111112</v>
      </c>
      <c r="G190" s="92" t="s">
        <v>614</v>
      </c>
      <c r="H190" s="92">
        <v>0</v>
      </c>
    </row>
    <row r="191" spans="1:8" x14ac:dyDescent="0.3">
      <c r="A191" s="89"/>
      <c r="B191" s="90" t="s">
        <v>798</v>
      </c>
      <c r="C191" s="89" t="s">
        <v>613</v>
      </c>
      <c r="D191" s="90" t="s">
        <v>620</v>
      </c>
      <c r="E191" s="91">
        <v>44224.951388888891</v>
      </c>
      <c r="F191" s="91">
        <v>44224.953472222223</v>
      </c>
      <c r="G191" s="89" t="s">
        <v>614</v>
      </c>
      <c r="H191" s="89">
        <v>0</v>
      </c>
    </row>
    <row r="192" spans="1:8" x14ac:dyDescent="0.3">
      <c r="A192" s="92"/>
      <c r="B192" s="93" t="s">
        <v>799</v>
      </c>
      <c r="C192" s="92" t="s">
        <v>613</v>
      </c>
      <c r="D192" s="93" t="s">
        <v>621</v>
      </c>
      <c r="E192" s="94">
        <v>44224.951388888891</v>
      </c>
      <c r="F192" s="94">
        <v>44224.953472222223</v>
      </c>
      <c r="G192" s="92" t="s">
        <v>614</v>
      </c>
      <c r="H192" s="92">
        <v>0</v>
      </c>
    </row>
    <row r="193" spans="1:8" x14ac:dyDescent="0.3">
      <c r="A193" s="89"/>
      <c r="B193" s="90" t="s">
        <v>800</v>
      </c>
      <c r="C193" s="89" t="s">
        <v>613</v>
      </c>
      <c r="D193" s="90" t="s">
        <v>622</v>
      </c>
      <c r="E193" s="91">
        <v>44224.951388888891</v>
      </c>
      <c r="F193" s="91">
        <v>44224.952777777777</v>
      </c>
      <c r="G193" s="89" t="s">
        <v>614</v>
      </c>
      <c r="H193" s="89">
        <v>0</v>
      </c>
    </row>
    <row r="194" spans="1:8" x14ac:dyDescent="0.3">
      <c r="A194" s="92"/>
      <c r="B194" s="93" t="s">
        <v>801</v>
      </c>
      <c r="C194" s="92" t="s">
        <v>613</v>
      </c>
      <c r="D194" s="93" t="s">
        <v>636</v>
      </c>
      <c r="E194" s="94">
        <v>44224.975694444445</v>
      </c>
      <c r="F194" s="94">
        <v>44224.977083333331</v>
      </c>
      <c r="G194" s="92" t="s">
        <v>614</v>
      </c>
      <c r="H194" s="92">
        <v>0</v>
      </c>
    </row>
    <row r="195" spans="1:8" x14ac:dyDescent="0.3">
      <c r="A195" s="89"/>
      <c r="B195" s="90" t="s">
        <v>802</v>
      </c>
      <c r="C195" s="89" t="s">
        <v>613</v>
      </c>
      <c r="D195" s="90" t="s">
        <v>637</v>
      </c>
      <c r="E195" s="91">
        <v>44224.975694444445</v>
      </c>
      <c r="F195" s="91">
        <v>44224.976388888892</v>
      </c>
      <c r="G195" s="89" t="s">
        <v>614</v>
      </c>
      <c r="H195" s="89">
        <v>0</v>
      </c>
    </row>
    <row r="196" spans="1:8" x14ac:dyDescent="0.3">
      <c r="A196" s="92"/>
      <c r="B196" s="93" t="s">
        <v>803</v>
      </c>
      <c r="C196" s="92" t="s">
        <v>613</v>
      </c>
      <c r="D196" s="93" t="s">
        <v>638</v>
      </c>
      <c r="E196" s="94">
        <v>44224.975694444445</v>
      </c>
      <c r="F196" s="94">
        <v>44224.977083333331</v>
      </c>
      <c r="G196" s="92" t="s">
        <v>614</v>
      </c>
      <c r="H196" s="92">
        <v>0</v>
      </c>
    </row>
    <row r="197" spans="1:8" x14ac:dyDescent="0.3">
      <c r="A197" s="89"/>
      <c r="B197" s="90" t="s">
        <v>804</v>
      </c>
      <c r="C197" s="89" t="s">
        <v>613</v>
      </c>
      <c r="D197" s="90" t="s">
        <v>626</v>
      </c>
      <c r="E197" s="91">
        <v>44224.954861111109</v>
      </c>
      <c r="F197" s="91">
        <v>44224.957638888889</v>
      </c>
      <c r="G197" s="89" t="s">
        <v>614</v>
      </c>
      <c r="H197" s="89">
        <v>0</v>
      </c>
    </row>
    <row r="198" spans="1:8" x14ac:dyDescent="0.3">
      <c r="A198" s="92"/>
      <c r="B198" s="93" t="s">
        <v>805</v>
      </c>
      <c r="C198" s="92" t="s">
        <v>613</v>
      </c>
      <c r="D198" s="93" t="s">
        <v>627</v>
      </c>
      <c r="E198" s="94">
        <v>44224.965277777781</v>
      </c>
      <c r="F198" s="94">
        <v>44224.966666666667</v>
      </c>
      <c r="G198" s="92" t="s">
        <v>614</v>
      </c>
      <c r="H198" s="92">
        <v>0</v>
      </c>
    </row>
    <row r="199" spans="1:8" x14ac:dyDescent="0.3">
      <c r="A199" s="89"/>
      <c r="B199" s="90" t="s">
        <v>806</v>
      </c>
      <c r="C199" s="89" t="s">
        <v>613</v>
      </c>
      <c r="D199" s="90" t="s">
        <v>625</v>
      </c>
      <c r="E199" s="91">
        <v>44224.954861111109</v>
      </c>
      <c r="F199" s="91">
        <v>44224.958333333336</v>
      </c>
      <c r="G199" s="89" t="s">
        <v>614</v>
      </c>
      <c r="H199" s="89">
        <v>0</v>
      </c>
    </row>
    <row r="200" spans="1:8" x14ac:dyDescent="0.3">
      <c r="A200" s="92"/>
      <c r="B200" s="93" t="s">
        <v>807</v>
      </c>
      <c r="C200" s="92" t="s">
        <v>613</v>
      </c>
      <c r="D200" s="93" t="s">
        <v>629</v>
      </c>
      <c r="E200" s="94">
        <v>44224.965277777781</v>
      </c>
      <c r="F200" s="94">
        <v>44224.966666666667</v>
      </c>
      <c r="G200" s="92" t="s">
        <v>614</v>
      </c>
      <c r="H200" s="92">
        <v>0</v>
      </c>
    </row>
    <row r="201" spans="1:8" x14ac:dyDescent="0.3">
      <c r="A201" s="89"/>
      <c r="B201" s="90" t="s">
        <v>808</v>
      </c>
      <c r="C201" s="89" t="s">
        <v>613</v>
      </c>
      <c r="D201" s="90" t="s">
        <v>628</v>
      </c>
      <c r="E201" s="91">
        <v>44224.965277777781</v>
      </c>
      <c r="F201" s="91">
        <v>44224.966666666667</v>
      </c>
      <c r="G201" s="89" t="s">
        <v>614</v>
      </c>
      <c r="H201" s="89">
        <v>0</v>
      </c>
    </row>
    <row r="202" spans="1:8" x14ac:dyDescent="0.3">
      <c r="A202" s="92"/>
      <c r="B202" s="93" t="s">
        <v>809</v>
      </c>
      <c r="C202" s="92" t="s">
        <v>613</v>
      </c>
      <c r="D202" s="93" t="s">
        <v>630</v>
      </c>
      <c r="E202" s="94">
        <v>44224.96875</v>
      </c>
      <c r="F202" s="94">
        <v>44224.970138888886</v>
      </c>
      <c r="G202" s="92" t="s">
        <v>614</v>
      </c>
      <c r="H202" s="92">
        <v>0</v>
      </c>
    </row>
    <row r="203" spans="1:8" x14ac:dyDescent="0.3">
      <c r="A203" s="89"/>
      <c r="B203" s="90" t="s">
        <v>810</v>
      </c>
      <c r="C203" s="89" t="s">
        <v>613</v>
      </c>
      <c r="D203" s="90" t="s">
        <v>631</v>
      </c>
      <c r="E203" s="91">
        <v>44224.96875</v>
      </c>
      <c r="F203" s="91">
        <v>44224.970138888886</v>
      </c>
      <c r="G203" s="89" t="s">
        <v>614</v>
      </c>
      <c r="H203" s="89">
        <v>0</v>
      </c>
    </row>
    <row r="204" spans="1:8" x14ac:dyDescent="0.3">
      <c r="A204" s="92"/>
      <c r="B204" s="93" t="s">
        <v>811</v>
      </c>
      <c r="C204" s="92" t="s">
        <v>613</v>
      </c>
      <c r="D204" s="93" t="s">
        <v>624</v>
      </c>
      <c r="E204" s="94">
        <v>44224.954861111109</v>
      </c>
      <c r="F204" s="94">
        <v>44224.959027777775</v>
      </c>
      <c r="G204" s="92" t="s">
        <v>614</v>
      </c>
      <c r="H204" s="92">
        <v>0</v>
      </c>
    </row>
    <row r="205" spans="1:8" x14ac:dyDescent="0.3">
      <c r="A205" s="89"/>
      <c r="B205" s="90" t="s">
        <v>812</v>
      </c>
      <c r="C205" s="89" t="s">
        <v>613</v>
      </c>
      <c r="D205" s="90" t="s">
        <v>632</v>
      </c>
      <c r="E205" s="91">
        <v>44224.96875</v>
      </c>
      <c r="F205" s="91">
        <v>44224.970138888886</v>
      </c>
      <c r="G205" s="89" t="s">
        <v>614</v>
      </c>
      <c r="H205" s="89">
        <v>0</v>
      </c>
    </row>
    <row r="206" spans="1:8" x14ac:dyDescent="0.3">
      <c r="A206" s="92"/>
      <c r="B206" s="93" t="s">
        <v>813</v>
      </c>
      <c r="C206" s="92" t="s">
        <v>613</v>
      </c>
      <c r="D206" s="93" t="s">
        <v>633</v>
      </c>
      <c r="E206" s="94">
        <v>44224.972222222219</v>
      </c>
      <c r="F206" s="94">
        <v>44224.973611111112</v>
      </c>
      <c r="G206" s="92" t="s">
        <v>614</v>
      </c>
      <c r="H206" s="92">
        <v>0</v>
      </c>
    </row>
    <row r="207" spans="1:8" x14ac:dyDescent="0.3">
      <c r="A207" s="89"/>
      <c r="B207" s="90" t="s">
        <v>814</v>
      </c>
      <c r="C207" s="89" t="s">
        <v>613</v>
      </c>
      <c r="D207" s="90" t="s">
        <v>634</v>
      </c>
      <c r="E207" s="91">
        <v>44224.972222222219</v>
      </c>
      <c r="F207" s="91">
        <v>44224.973611111112</v>
      </c>
      <c r="G207" s="89" t="s">
        <v>614</v>
      </c>
      <c r="H207" s="89">
        <v>0</v>
      </c>
    </row>
    <row r="208" spans="1:8" x14ac:dyDescent="0.3">
      <c r="A208" s="92"/>
      <c r="B208" s="93" t="s">
        <v>815</v>
      </c>
      <c r="C208" s="92" t="s">
        <v>613</v>
      </c>
      <c r="D208" s="93" t="s">
        <v>617</v>
      </c>
      <c r="E208" s="94">
        <v>44224.947916666664</v>
      </c>
      <c r="F208" s="94">
        <v>44224.95416666667</v>
      </c>
      <c r="G208" s="92" t="s">
        <v>614</v>
      </c>
      <c r="H208" s="92">
        <v>0</v>
      </c>
    </row>
    <row r="209" spans="1:8" x14ac:dyDescent="0.3">
      <c r="A209" s="89"/>
      <c r="B209" s="90" t="s">
        <v>816</v>
      </c>
      <c r="C209" s="89" t="s">
        <v>613</v>
      </c>
      <c r="D209" s="90" t="s">
        <v>618</v>
      </c>
      <c r="E209" s="91">
        <v>44224.947916666664</v>
      </c>
      <c r="F209" s="91">
        <v>44224.95</v>
      </c>
      <c r="G209" s="89" t="s">
        <v>614</v>
      </c>
      <c r="H209" s="89">
        <v>0</v>
      </c>
    </row>
    <row r="210" spans="1:8" x14ac:dyDescent="0.3">
      <c r="A210" s="92"/>
      <c r="B210" s="93" t="s">
        <v>817</v>
      </c>
      <c r="C210" s="92" t="s">
        <v>613</v>
      </c>
      <c r="D210" s="93" t="s">
        <v>619</v>
      </c>
      <c r="E210" s="94">
        <v>44224.947916666664</v>
      </c>
      <c r="F210" s="94">
        <v>44224.95</v>
      </c>
      <c r="G210" s="92" t="s">
        <v>614</v>
      </c>
      <c r="H210" s="92">
        <v>0</v>
      </c>
    </row>
    <row r="211" spans="1:8" x14ac:dyDescent="0.3">
      <c r="A211" s="89"/>
      <c r="B211" s="90" t="s">
        <v>818</v>
      </c>
      <c r="C211" s="89" t="s">
        <v>613</v>
      </c>
      <c r="D211" s="90" t="s">
        <v>623</v>
      </c>
      <c r="E211" s="91">
        <v>44224.954861111109</v>
      </c>
      <c r="F211" s="91">
        <v>44224.957638888889</v>
      </c>
      <c r="G211" s="89" t="s">
        <v>614</v>
      </c>
      <c r="H211" s="89">
        <v>0</v>
      </c>
    </row>
    <row r="212" spans="1:8" x14ac:dyDescent="0.3">
      <c r="A212" s="92"/>
      <c r="B212" s="93" t="s">
        <v>819</v>
      </c>
      <c r="C212" s="92" t="s">
        <v>613</v>
      </c>
      <c r="D212" s="93" t="s">
        <v>635</v>
      </c>
      <c r="E212" s="94">
        <v>44224.972222222219</v>
      </c>
      <c r="F212" s="94">
        <v>44224.972916666666</v>
      </c>
      <c r="G212" s="92" t="s">
        <v>614</v>
      </c>
      <c r="H212" s="92">
        <v>0</v>
      </c>
    </row>
    <row r="213" spans="1:8" x14ac:dyDescent="0.3">
      <c r="A213" s="89"/>
      <c r="B213" s="90" t="s">
        <v>820</v>
      </c>
      <c r="C213" s="89" t="s">
        <v>613</v>
      </c>
      <c r="D213" s="90" t="s">
        <v>620</v>
      </c>
      <c r="E213" s="91">
        <v>44224.951388888891</v>
      </c>
      <c r="F213" s="91">
        <v>44224.953472222223</v>
      </c>
      <c r="G213" s="89" t="s">
        <v>614</v>
      </c>
      <c r="H213" s="89">
        <v>0</v>
      </c>
    </row>
    <row r="214" spans="1:8" x14ac:dyDescent="0.3">
      <c r="A214" s="92"/>
      <c r="B214" s="93" t="s">
        <v>821</v>
      </c>
      <c r="C214" s="92" t="s">
        <v>613</v>
      </c>
      <c r="D214" s="93" t="s">
        <v>621</v>
      </c>
      <c r="E214" s="94">
        <v>44224.951388888891</v>
      </c>
      <c r="F214" s="94">
        <v>44224.952777777777</v>
      </c>
      <c r="G214" s="92" t="s">
        <v>614</v>
      </c>
      <c r="H214" s="92">
        <v>0</v>
      </c>
    </row>
    <row r="215" spans="1:8" x14ac:dyDescent="0.3">
      <c r="A215" s="89"/>
      <c r="B215" s="90" t="s">
        <v>822</v>
      </c>
      <c r="C215" s="89" t="s">
        <v>613</v>
      </c>
      <c r="D215" s="90" t="s">
        <v>622</v>
      </c>
      <c r="E215" s="91">
        <v>44224.951388888891</v>
      </c>
      <c r="F215" s="91">
        <v>44224.953472222223</v>
      </c>
      <c r="G215" s="89" t="s">
        <v>614</v>
      </c>
      <c r="H215" s="89">
        <v>0</v>
      </c>
    </row>
    <row r="216" spans="1:8" x14ac:dyDescent="0.3">
      <c r="A216" s="92"/>
      <c r="B216" s="93" t="s">
        <v>823</v>
      </c>
      <c r="C216" s="92" t="s">
        <v>613</v>
      </c>
      <c r="D216" s="93" t="s">
        <v>636</v>
      </c>
      <c r="E216" s="94">
        <v>44224.975694444445</v>
      </c>
      <c r="F216" s="94">
        <v>44224.976388888892</v>
      </c>
      <c r="G216" s="92" t="s">
        <v>614</v>
      </c>
      <c r="H216" s="92">
        <v>0</v>
      </c>
    </row>
    <row r="217" spans="1:8" x14ac:dyDescent="0.3">
      <c r="A217" s="89"/>
      <c r="B217" s="90" t="s">
        <v>824</v>
      </c>
      <c r="C217" s="89" t="s">
        <v>613</v>
      </c>
      <c r="D217" s="90" t="s">
        <v>637</v>
      </c>
      <c r="E217" s="91">
        <v>44224.975694444445</v>
      </c>
      <c r="F217" s="91">
        <v>44224.976388888892</v>
      </c>
      <c r="G217" s="89" t="s">
        <v>614</v>
      </c>
      <c r="H217" s="89">
        <v>0</v>
      </c>
    </row>
    <row r="218" spans="1:8" x14ac:dyDescent="0.3">
      <c r="A218" s="92"/>
      <c r="B218" s="93" t="s">
        <v>825</v>
      </c>
      <c r="C218" s="92" t="s">
        <v>613</v>
      </c>
      <c r="D218" s="93" t="s">
        <v>638</v>
      </c>
      <c r="E218" s="94">
        <v>44224.975694444445</v>
      </c>
      <c r="F218" s="94">
        <v>44224.977083333331</v>
      </c>
      <c r="G218" s="92" t="s">
        <v>614</v>
      </c>
      <c r="H218" s="92">
        <v>0</v>
      </c>
    </row>
    <row r="219" spans="1:8" x14ac:dyDescent="0.3">
      <c r="A219" s="89"/>
      <c r="B219" s="90" t="s">
        <v>826</v>
      </c>
      <c r="C219" s="89" t="s">
        <v>613</v>
      </c>
      <c r="D219" s="90" t="s">
        <v>626</v>
      </c>
      <c r="E219" s="91">
        <v>44224.954861111109</v>
      </c>
      <c r="F219" s="91">
        <v>44224.956944444442</v>
      </c>
      <c r="G219" s="89" t="s">
        <v>614</v>
      </c>
      <c r="H219" s="89">
        <v>0</v>
      </c>
    </row>
    <row r="220" spans="1:8" x14ac:dyDescent="0.3">
      <c r="A220" s="92"/>
      <c r="B220" s="93" t="s">
        <v>827</v>
      </c>
      <c r="C220" s="92" t="s">
        <v>613</v>
      </c>
      <c r="D220" s="93" t="s">
        <v>627</v>
      </c>
      <c r="E220" s="94">
        <v>44224.965277777781</v>
      </c>
      <c r="F220" s="94">
        <v>44224.966666666667</v>
      </c>
      <c r="G220" s="92" t="s">
        <v>614</v>
      </c>
      <c r="H220" s="92">
        <v>0</v>
      </c>
    </row>
    <row r="221" spans="1:8" x14ac:dyDescent="0.3">
      <c r="A221" s="89"/>
      <c r="B221" s="90" t="s">
        <v>828</v>
      </c>
      <c r="C221" s="89" t="s">
        <v>613</v>
      </c>
      <c r="D221" s="90" t="s">
        <v>625</v>
      </c>
      <c r="E221" s="91">
        <v>44224.954861111109</v>
      </c>
      <c r="F221" s="91">
        <v>44224.957638888889</v>
      </c>
      <c r="G221" s="89" t="s">
        <v>614</v>
      </c>
      <c r="H221" s="89">
        <v>0</v>
      </c>
    </row>
    <row r="222" spans="1:8" x14ac:dyDescent="0.3">
      <c r="A222" s="92"/>
      <c r="B222" s="93" t="s">
        <v>829</v>
      </c>
      <c r="C222" s="92" t="s">
        <v>613</v>
      </c>
      <c r="D222" s="93" t="s">
        <v>629</v>
      </c>
      <c r="E222" s="94">
        <v>44224.965277777781</v>
      </c>
      <c r="F222" s="94">
        <v>44224.966666666667</v>
      </c>
      <c r="G222" s="92" t="s">
        <v>614</v>
      </c>
      <c r="H222" s="92">
        <v>0</v>
      </c>
    </row>
    <row r="223" spans="1:8" x14ac:dyDescent="0.3">
      <c r="A223" s="89"/>
      <c r="B223" s="90" t="s">
        <v>830</v>
      </c>
      <c r="C223" s="89" t="s">
        <v>613</v>
      </c>
      <c r="D223" s="90" t="s">
        <v>628</v>
      </c>
      <c r="E223" s="91">
        <v>44224.965277777781</v>
      </c>
      <c r="F223" s="91">
        <v>44224.966666666667</v>
      </c>
      <c r="G223" s="89" t="s">
        <v>614</v>
      </c>
      <c r="H223" s="89">
        <v>0</v>
      </c>
    </row>
    <row r="224" spans="1:8" x14ac:dyDescent="0.3">
      <c r="A224" s="92"/>
      <c r="B224" s="93" t="s">
        <v>831</v>
      </c>
      <c r="C224" s="92" t="s">
        <v>613</v>
      </c>
      <c r="D224" s="93" t="s">
        <v>630</v>
      </c>
      <c r="E224" s="94">
        <v>44224.96875</v>
      </c>
      <c r="F224" s="94">
        <v>44224.970138888886</v>
      </c>
      <c r="G224" s="92" t="s">
        <v>614</v>
      </c>
      <c r="H224" s="92">
        <v>0</v>
      </c>
    </row>
    <row r="225" spans="1:8" x14ac:dyDescent="0.3">
      <c r="A225" s="89"/>
      <c r="B225" s="90" t="s">
        <v>832</v>
      </c>
      <c r="C225" s="89" t="s">
        <v>613</v>
      </c>
      <c r="D225" s="90" t="s">
        <v>631</v>
      </c>
      <c r="E225" s="91">
        <v>44224.96875</v>
      </c>
      <c r="F225" s="91">
        <v>44224.970138888886</v>
      </c>
      <c r="G225" s="89" t="s">
        <v>614</v>
      </c>
      <c r="H225" s="89">
        <v>0</v>
      </c>
    </row>
    <row r="226" spans="1:8" x14ac:dyDescent="0.3">
      <c r="A226" s="92"/>
      <c r="B226" s="93" t="s">
        <v>833</v>
      </c>
      <c r="C226" s="92" t="s">
        <v>613</v>
      </c>
      <c r="D226" s="93" t="s">
        <v>624</v>
      </c>
      <c r="E226" s="94">
        <v>44224.954861111109</v>
      </c>
      <c r="F226" s="94">
        <v>44224.959027777775</v>
      </c>
      <c r="G226" s="92" t="s">
        <v>614</v>
      </c>
      <c r="H226" s="92">
        <v>0</v>
      </c>
    </row>
    <row r="227" spans="1:8" x14ac:dyDescent="0.3">
      <c r="A227" s="89"/>
      <c r="B227" s="90" t="s">
        <v>834</v>
      </c>
      <c r="C227" s="89" t="s">
        <v>613</v>
      </c>
      <c r="D227" s="90" t="s">
        <v>632</v>
      </c>
      <c r="E227" s="91">
        <v>44224.96875</v>
      </c>
      <c r="F227" s="91">
        <v>44224.970138888886</v>
      </c>
      <c r="G227" s="89" t="s">
        <v>614</v>
      </c>
      <c r="H227" s="89">
        <v>0</v>
      </c>
    </row>
    <row r="228" spans="1:8" x14ac:dyDescent="0.3">
      <c r="A228" s="92"/>
      <c r="B228" s="93" t="s">
        <v>835</v>
      </c>
      <c r="C228" s="92" t="s">
        <v>613</v>
      </c>
      <c r="D228" s="93" t="s">
        <v>633</v>
      </c>
      <c r="E228" s="94">
        <v>44224.972222222219</v>
      </c>
      <c r="F228" s="94">
        <v>44224.972916666666</v>
      </c>
      <c r="G228" s="92" t="s">
        <v>614</v>
      </c>
      <c r="H228" s="92">
        <v>0</v>
      </c>
    </row>
    <row r="229" spans="1:8" x14ac:dyDescent="0.3">
      <c r="A229" s="89"/>
      <c r="B229" s="90" t="s">
        <v>836</v>
      </c>
      <c r="C229" s="89" t="s">
        <v>613</v>
      </c>
      <c r="D229" s="90" t="s">
        <v>634</v>
      </c>
      <c r="E229" s="91">
        <v>44224.972222222219</v>
      </c>
      <c r="F229" s="91">
        <v>44224.973611111112</v>
      </c>
      <c r="G229" s="89" t="s">
        <v>614</v>
      </c>
      <c r="H229" s="89">
        <v>0</v>
      </c>
    </row>
    <row r="230" spans="1:8" x14ac:dyDescent="0.3">
      <c r="A230" s="92"/>
      <c r="B230" s="93" t="s">
        <v>837</v>
      </c>
      <c r="C230" s="92" t="s">
        <v>613</v>
      </c>
      <c r="D230" s="93" t="s">
        <v>617</v>
      </c>
      <c r="E230" s="94">
        <v>44224.947916666664</v>
      </c>
      <c r="F230" s="94">
        <v>44224.950694444444</v>
      </c>
      <c r="G230" s="92" t="s">
        <v>614</v>
      </c>
      <c r="H230" s="92">
        <v>0</v>
      </c>
    </row>
    <row r="231" spans="1:8" x14ac:dyDescent="0.3">
      <c r="A231" s="89"/>
      <c r="B231" s="90" t="s">
        <v>838</v>
      </c>
      <c r="C231" s="89" t="s">
        <v>613</v>
      </c>
      <c r="D231" s="90" t="s">
        <v>618</v>
      </c>
      <c r="E231" s="91">
        <v>44224.947916666664</v>
      </c>
      <c r="F231" s="91">
        <v>44224.95</v>
      </c>
      <c r="G231" s="89" t="s">
        <v>614</v>
      </c>
      <c r="H231" s="89">
        <v>0</v>
      </c>
    </row>
    <row r="232" spans="1:8" x14ac:dyDescent="0.3">
      <c r="A232" s="92"/>
      <c r="B232" s="93" t="s">
        <v>839</v>
      </c>
      <c r="C232" s="92" t="s">
        <v>613</v>
      </c>
      <c r="D232" s="93" t="s">
        <v>619</v>
      </c>
      <c r="E232" s="94">
        <v>44224.947916666664</v>
      </c>
      <c r="F232" s="94">
        <v>44224.949305555558</v>
      </c>
      <c r="G232" s="92" t="s">
        <v>614</v>
      </c>
      <c r="H232" s="92">
        <v>0</v>
      </c>
    </row>
    <row r="233" spans="1:8" x14ac:dyDescent="0.3">
      <c r="A233" s="89"/>
      <c r="B233" s="90" t="s">
        <v>840</v>
      </c>
      <c r="C233" s="89" t="s">
        <v>613</v>
      </c>
      <c r="D233" s="90" t="s">
        <v>623</v>
      </c>
      <c r="E233" s="91">
        <v>44224.954861111109</v>
      </c>
      <c r="F233" s="91">
        <v>44224.957638888889</v>
      </c>
      <c r="G233" s="89" t="s">
        <v>614</v>
      </c>
      <c r="H233" s="89">
        <v>0</v>
      </c>
    </row>
    <row r="234" spans="1:8" x14ac:dyDescent="0.3">
      <c r="A234" s="92"/>
      <c r="B234" s="93" t="s">
        <v>841</v>
      </c>
      <c r="C234" s="92" t="s">
        <v>613</v>
      </c>
      <c r="D234" s="93" t="s">
        <v>635</v>
      </c>
      <c r="E234" s="94">
        <v>44224.972222222219</v>
      </c>
      <c r="F234" s="94">
        <v>44224.972916666666</v>
      </c>
      <c r="G234" s="92" t="s">
        <v>614</v>
      </c>
      <c r="H234" s="92">
        <v>0</v>
      </c>
    </row>
    <row r="235" spans="1:8" x14ac:dyDescent="0.3">
      <c r="A235" s="89"/>
      <c r="B235" s="90" t="s">
        <v>842</v>
      </c>
      <c r="C235" s="89" t="s">
        <v>613</v>
      </c>
      <c r="D235" s="90" t="s">
        <v>620</v>
      </c>
      <c r="E235" s="91">
        <v>44224.951388888891</v>
      </c>
      <c r="F235" s="91">
        <v>44224.953472222223</v>
      </c>
      <c r="G235" s="89" t="s">
        <v>614</v>
      </c>
      <c r="H235" s="89">
        <v>0</v>
      </c>
    </row>
    <row r="236" spans="1:8" x14ac:dyDescent="0.3">
      <c r="A236" s="92"/>
      <c r="B236" s="93" t="s">
        <v>843</v>
      </c>
      <c r="C236" s="92" t="s">
        <v>613</v>
      </c>
      <c r="D236" s="93" t="s">
        <v>621</v>
      </c>
      <c r="E236" s="94">
        <v>44224.951388888891</v>
      </c>
      <c r="F236" s="94">
        <v>44224.953472222223</v>
      </c>
      <c r="G236" s="92" t="s">
        <v>614</v>
      </c>
      <c r="H236" s="92">
        <v>0</v>
      </c>
    </row>
    <row r="237" spans="1:8" x14ac:dyDescent="0.3">
      <c r="A237" s="89"/>
      <c r="B237" s="90" t="s">
        <v>844</v>
      </c>
      <c r="C237" s="89" t="s">
        <v>613</v>
      </c>
      <c r="D237" s="90" t="s">
        <v>622</v>
      </c>
      <c r="E237" s="91">
        <v>44224.951388888891</v>
      </c>
      <c r="F237" s="91">
        <v>44224.952777777777</v>
      </c>
      <c r="G237" s="89" t="s">
        <v>614</v>
      </c>
      <c r="H237" s="89">
        <v>0</v>
      </c>
    </row>
    <row r="238" spans="1:8" x14ac:dyDescent="0.3">
      <c r="A238" s="92"/>
      <c r="B238" s="93" t="s">
        <v>845</v>
      </c>
      <c r="C238" s="92" t="s">
        <v>613</v>
      </c>
      <c r="D238" s="93" t="s">
        <v>636</v>
      </c>
      <c r="E238" s="94">
        <v>44224.975694444445</v>
      </c>
      <c r="F238" s="94">
        <v>44224.976388888892</v>
      </c>
      <c r="G238" s="92" t="s">
        <v>614</v>
      </c>
      <c r="H238" s="92">
        <v>0</v>
      </c>
    </row>
    <row r="239" spans="1:8" x14ac:dyDescent="0.3">
      <c r="A239" s="89"/>
      <c r="B239" s="90" t="s">
        <v>846</v>
      </c>
      <c r="C239" s="89" t="s">
        <v>613</v>
      </c>
      <c r="D239" s="90" t="s">
        <v>637</v>
      </c>
      <c r="E239" s="91">
        <v>44224.975694444445</v>
      </c>
      <c r="F239" s="91">
        <v>44224.977083333331</v>
      </c>
      <c r="G239" s="89" t="s">
        <v>614</v>
      </c>
      <c r="H239" s="89">
        <v>0</v>
      </c>
    </row>
    <row r="240" spans="1:8" x14ac:dyDescent="0.3">
      <c r="A240" s="92"/>
      <c r="B240" s="93" t="s">
        <v>847</v>
      </c>
      <c r="C240" s="92" t="s">
        <v>613</v>
      </c>
      <c r="D240" s="93" t="s">
        <v>638</v>
      </c>
      <c r="E240" s="94">
        <v>44224.975694444445</v>
      </c>
      <c r="F240" s="94">
        <v>44224.977083333331</v>
      </c>
      <c r="G240" s="92" t="s">
        <v>614</v>
      </c>
      <c r="H240" s="92">
        <v>0</v>
      </c>
    </row>
    <row r="241" spans="1:8" x14ac:dyDescent="0.3">
      <c r="A241" s="89"/>
      <c r="B241" s="90" t="s">
        <v>848</v>
      </c>
      <c r="C241" s="89" t="s">
        <v>613</v>
      </c>
      <c r="D241" s="90" t="s">
        <v>626</v>
      </c>
      <c r="E241" s="91">
        <v>44224.954861111109</v>
      </c>
      <c r="F241" s="91">
        <v>44224.956944444442</v>
      </c>
      <c r="G241" s="89" t="s">
        <v>614</v>
      </c>
      <c r="H241" s="89">
        <v>0</v>
      </c>
    </row>
    <row r="242" spans="1:8" x14ac:dyDescent="0.3">
      <c r="A242" s="92"/>
      <c r="B242" s="93" t="s">
        <v>849</v>
      </c>
      <c r="C242" s="92" t="s">
        <v>613</v>
      </c>
      <c r="D242" s="93" t="s">
        <v>627</v>
      </c>
      <c r="E242" s="94">
        <v>44224.965277777781</v>
      </c>
      <c r="F242" s="94">
        <v>44224.966666666667</v>
      </c>
      <c r="G242" s="92" t="s">
        <v>614</v>
      </c>
      <c r="H242" s="92">
        <v>0</v>
      </c>
    </row>
    <row r="243" spans="1:8" x14ac:dyDescent="0.3">
      <c r="A243" s="89"/>
      <c r="B243" s="90" t="s">
        <v>850</v>
      </c>
      <c r="C243" s="89" t="s">
        <v>613</v>
      </c>
      <c r="D243" s="90" t="s">
        <v>625</v>
      </c>
      <c r="E243" s="91">
        <v>44224.954861111109</v>
      </c>
      <c r="F243" s="91">
        <v>44224.957638888889</v>
      </c>
      <c r="G243" s="89" t="s">
        <v>614</v>
      </c>
      <c r="H243" s="89">
        <v>0</v>
      </c>
    </row>
    <row r="244" spans="1:8" x14ac:dyDescent="0.3">
      <c r="A244" s="92"/>
      <c r="B244" s="93" t="s">
        <v>851</v>
      </c>
      <c r="C244" s="92" t="s">
        <v>613</v>
      </c>
      <c r="D244" s="93" t="s">
        <v>629</v>
      </c>
      <c r="E244" s="94">
        <v>44224.965277777781</v>
      </c>
      <c r="F244" s="94">
        <v>44224.966666666667</v>
      </c>
      <c r="G244" s="92" t="s">
        <v>614</v>
      </c>
      <c r="H244" s="92">
        <v>0</v>
      </c>
    </row>
    <row r="245" spans="1:8" x14ac:dyDescent="0.3">
      <c r="A245" s="89"/>
      <c r="B245" s="90" t="s">
        <v>852</v>
      </c>
      <c r="C245" s="89" t="s">
        <v>613</v>
      </c>
      <c r="D245" s="90" t="s">
        <v>628</v>
      </c>
      <c r="E245" s="91">
        <v>44224.965277777781</v>
      </c>
      <c r="F245" s="91">
        <v>44224.966666666667</v>
      </c>
      <c r="G245" s="89" t="s">
        <v>614</v>
      </c>
      <c r="H245" s="89">
        <v>0</v>
      </c>
    </row>
    <row r="246" spans="1:8" x14ac:dyDescent="0.3">
      <c r="A246" s="92"/>
      <c r="B246" s="93" t="s">
        <v>853</v>
      </c>
      <c r="C246" s="92" t="s">
        <v>613</v>
      </c>
      <c r="D246" s="93" t="s">
        <v>630</v>
      </c>
      <c r="E246" s="94">
        <v>44224.96875</v>
      </c>
      <c r="F246" s="94">
        <v>44224.970138888886</v>
      </c>
      <c r="G246" s="92" t="s">
        <v>614</v>
      </c>
      <c r="H246" s="92">
        <v>0</v>
      </c>
    </row>
    <row r="247" spans="1:8" x14ac:dyDescent="0.3">
      <c r="A247" s="89"/>
      <c r="B247" s="90" t="s">
        <v>854</v>
      </c>
      <c r="C247" s="89" t="s">
        <v>613</v>
      </c>
      <c r="D247" s="90" t="s">
        <v>631</v>
      </c>
      <c r="E247" s="91">
        <v>44224.96875</v>
      </c>
      <c r="F247" s="91">
        <v>44224.970138888886</v>
      </c>
      <c r="G247" s="89" t="s">
        <v>614</v>
      </c>
      <c r="H247" s="89">
        <v>0</v>
      </c>
    </row>
    <row r="248" spans="1:8" x14ac:dyDescent="0.3">
      <c r="A248" s="92"/>
      <c r="B248" s="93" t="s">
        <v>855</v>
      </c>
      <c r="C248" s="92" t="s">
        <v>613</v>
      </c>
      <c r="D248" s="93" t="s">
        <v>624</v>
      </c>
      <c r="E248" s="94">
        <v>44224.954861111109</v>
      </c>
      <c r="F248" s="94">
        <v>44224.959027777775</v>
      </c>
      <c r="G248" s="92" t="s">
        <v>614</v>
      </c>
      <c r="H248" s="92">
        <v>0</v>
      </c>
    </row>
    <row r="249" spans="1:8" x14ac:dyDescent="0.3">
      <c r="A249" s="89"/>
      <c r="B249" s="90" t="s">
        <v>856</v>
      </c>
      <c r="C249" s="89" t="s">
        <v>613</v>
      </c>
      <c r="D249" s="90" t="s">
        <v>632</v>
      </c>
      <c r="E249" s="91">
        <v>44224.96875</v>
      </c>
      <c r="F249" s="91">
        <v>44224.970138888886</v>
      </c>
      <c r="G249" s="89" t="s">
        <v>614</v>
      </c>
      <c r="H249" s="89">
        <v>0</v>
      </c>
    </row>
    <row r="250" spans="1:8" x14ac:dyDescent="0.3">
      <c r="A250" s="92"/>
      <c r="B250" s="93" t="s">
        <v>857</v>
      </c>
      <c r="C250" s="92" t="s">
        <v>613</v>
      </c>
      <c r="D250" s="93" t="s">
        <v>633</v>
      </c>
      <c r="E250" s="94">
        <v>44224.972222222219</v>
      </c>
      <c r="F250" s="94">
        <v>44224.973611111112</v>
      </c>
      <c r="G250" s="92" t="s">
        <v>614</v>
      </c>
      <c r="H250" s="92">
        <v>0</v>
      </c>
    </row>
    <row r="251" spans="1:8" x14ac:dyDescent="0.3">
      <c r="A251" s="89"/>
      <c r="B251" s="90" t="s">
        <v>858</v>
      </c>
      <c r="C251" s="89" t="s">
        <v>613</v>
      </c>
      <c r="D251" s="90" t="s">
        <v>634</v>
      </c>
      <c r="E251" s="91">
        <v>44224.972222222219</v>
      </c>
      <c r="F251" s="91">
        <v>44224.973611111112</v>
      </c>
      <c r="G251" s="89" t="s">
        <v>614</v>
      </c>
      <c r="H251" s="89">
        <v>0</v>
      </c>
    </row>
    <row r="252" spans="1:8" x14ac:dyDescent="0.3">
      <c r="A252" s="92"/>
      <c r="B252" s="93" t="s">
        <v>859</v>
      </c>
      <c r="C252" s="92" t="s">
        <v>613</v>
      </c>
      <c r="D252" s="93" t="s">
        <v>617</v>
      </c>
      <c r="E252" s="94">
        <v>44224.947916666664</v>
      </c>
      <c r="F252" s="94">
        <v>44224.95416666667</v>
      </c>
      <c r="G252" s="92" t="s">
        <v>614</v>
      </c>
      <c r="H252" s="92">
        <v>0</v>
      </c>
    </row>
    <row r="253" spans="1:8" x14ac:dyDescent="0.3">
      <c r="A253" s="89"/>
      <c r="B253" s="90" t="s">
        <v>860</v>
      </c>
      <c r="C253" s="89" t="s">
        <v>613</v>
      </c>
      <c r="D253" s="90" t="s">
        <v>618</v>
      </c>
      <c r="E253" s="91">
        <v>44224.947916666664</v>
      </c>
      <c r="F253" s="91">
        <v>44224.95</v>
      </c>
      <c r="G253" s="89" t="s">
        <v>614</v>
      </c>
      <c r="H253" s="89">
        <v>0</v>
      </c>
    </row>
    <row r="254" spans="1:8" x14ac:dyDescent="0.3">
      <c r="A254" s="92"/>
      <c r="B254" s="93" t="s">
        <v>861</v>
      </c>
      <c r="C254" s="92" t="s">
        <v>613</v>
      </c>
      <c r="D254" s="93" t="s">
        <v>619</v>
      </c>
      <c r="E254" s="94">
        <v>44224.947916666664</v>
      </c>
      <c r="F254" s="94">
        <v>44224.95</v>
      </c>
      <c r="G254" s="92" t="s">
        <v>614</v>
      </c>
      <c r="H254" s="92">
        <v>0</v>
      </c>
    </row>
    <row r="255" spans="1:8" x14ac:dyDescent="0.3">
      <c r="A255" s="89"/>
      <c r="B255" s="90" t="s">
        <v>862</v>
      </c>
      <c r="C255" s="89" t="s">
        <v>613</v>
      </c>
      <c r="D255" s="90" t="s">
        <v>623</v>
      </c>
      <c r="E255" s="91">
        <v>44224.954861111109</v>
      </c>
      <c r="F255" s="91">
        <v>44224.956944444442</v>
      </c>
      <c r="G255" s="89" t="s">
        <v>614</v>
      </c>
      <c r="H255" s="89">
        <v>0</v>
      </c>
    </row>
    <row r="256" spans="1:8" x14ac:dyDescent="0.3">
      <c r="A256" s="92"/>
      <c r="B256" s="93" t="s">
        <v>863</v>
      </c>
      <c r="C256" s="92" t="s">
        <v>613</v>
      </c>
      <c r="D256" s="93" t="s">
        <v>635</v>
      </c>
      <c r="E256" s="94">
        <v>44224.972222222219</v>
      </c>
      <c r="F256" s="94">
        <v>44224.973611111112</v>
      </c>
      <c r="G256" s="92" t="s">
        <v>614</v>
      </c>
      <c r="H256" s="92">
        <v>0</v>
      </c>
    </row>
    <row r="257" spans="1:8" x14ac:dyDescent="0.3">
      <c r="A257" s="89"/>
      <c r="B257" s="90" t="s">
        <v>864</v>
      </c>
      <c r="C257" s="89" t="s">
        <v>613</v>
      </c>
      <c r="D257" s="90" t="s">
        <v>620</v>
      </c>
      <c r="E257" s="91">
        <v>44224.951388888891</v>
      </c>
      <c r="F257" s="91">
        <v>44224.952777777777</v>
      </c>
      <c r="G257" s="89" t="s">
        <v>614</v>
      </c>
      <c r="H257" s="89">
        <v>0</v>
      </c>
    </row>
    <row r="258" spans="1:8" x14ac:dyDescent="0.3">
      <c r="A258" s="92"/>
      <c r="B258" s="93" t="s">
        <v>865</v>
      </c>
      <c r="C258" s="92" t="s">
        <v>613</v>
      </c>
      <c r="D258" s="93" t="s">
        <v>621</v>
      </c>
      <c r="E258" s="94">
        <v>44224.951388888891</v>
      </c>
      <c r="F258" s="94">
        <v>44224.953472222223</v>
      </c>
      <c r="G258" s="92" t="s">
        <v>614</v>
      </c>
      <c r="H258" s="92">
        <v>0</v>
      </c>
    </row>
    <row r="259" spans="1:8" x14ac:dyDescent="0.3">
      <c r="A259" s="89"/>
      <c r="B259" s="90" t="s">
        <v>866</v>
      </c>
      <c r="C259" s="89" t="s">
        <v>613</v>
      </c>
      <c r="D259" s="90" t="s">
        <v>622</v>
      </c>
      <c r="E259" s="91">
        <v>44224.951388888891</v>
      </c>
      <c r="F259" s="91">
        <v>44224.953472222223</v>
      </c>
      <c r="G259" s="89" t="s">
        <v>614</v>
      </c>
      <c r="H259" s="89">
        <v>0</v>
      </c>
    </row>
    <row r="260" spans="1:8" x14ac:dyDescent="0.3">
      <c r="A260" s="92"/>
      <c r="B260" s="93" t="s">
        <v>867</v>
      </c>
      <c r="C260" s="92" t="s">
        <v>613</v>
      </c>
      <c r="D260" s="93" t="s">
        <v>636</v>
      </c>
      <c r="E260" s="94">
        <v>44224.975694444445</v>
      </c>
      <c r="F260" s="94">
        <v>44224.977083333331</v>
      </c>
      <c r="G260" s="92" t="s">
        <v>614</v>
      </c>
      <c r="H260" s="92">
        <v>0</v>
      </c>
    </row>
    <row r="261" spans="1:8" x14ac:dyDescent="0.3">
      <c r="A261" s="89"/>
      <c r="B261" s="90" t="s">
        <v>868</v>
      </c>
      <c r="C261" s="89" t="s">
        <v>613</v>
      </c>
      <c r="D261" s="90" t="s">
        <v>637</v>
      </c>
      <c r="E261" s="91">
        <v>44224.975694444445</v>
      </c>
      <c r="F261" s="91">
        <v>44224.977083333331</v>
      </c>
      <c r="G261" s="89" t="s">
        <v>614</v>
      </c>
      <c r="H261" s="89">
        <v>0</v>
      </c>
    </row>
    <row r="262" spans="1:8" x14ac:dyDescent="0.3">
      <c r="A262" s="92"/>
      <c r="B262" s="93" t="s">
        <v>869</v>
      </c>
      <c r="C262" s="92" t="s">
        <v>613</v>
      </c>
      <c r="D262" s="93" t="s">
        <v>638</v>
      </c>
      <c r="E262" s="94">
        <v>44224.975694444445</v>
      </c>
      <c r="F262" s="94">
        <v>44224.977083333331</v>
      </c>
      <c r="G262" s="92" t="s">
        <v>614</v>
      </c>
      <c r="H262" s="92">
        <v>0</v>
      </c>
    </row>
    <row r="263" spans="1:8" x14ac:dyDescent="0.3">
      <c r="A263" s="89"/>
      <c r="B263" s="90" t="s">
        <v>870</v>
      </c>
      <c r="C263" s="89" t="s">
        <v>613</v>
      </c>
      <c r="D263" s="90" t="s">
        <v>626</v>
      </c>
      <c r="E263" s="91">
        <v>44224.954861111109</v>
      </c>
      <c r="F263" s="91">
        <v>44224.957638888889</v>
      </c>
      <c r="G263" s="89" t="s">
        <v>614</v>
      </c>
      <c r="H263" s="89">
        <v>0</v>
      </c>
    </row>
    <row r="264" spans="1:8" x14ac:dyDescent="0.3">
      <c r="A264" s="92"/>
      <c r="B264" s="93" t="s">
        <v>871</v>
      </c>
      <c r="C264" s="92" t="s">
        <v>613</v>
      </c>
      <c r="D264" s="93" t="s">
        <v>627</v>
      </c>
      <c r="E264" s="94">
        <v>44224.965277777781</v>
      </c>
      <c r="F264" s="94">
        <v>44224.966666666667</v>
      </c>
      <c r="G264" s="92" t="s">
        <v>614</v>
      </c>
      <c r="H264" s="92">
        <v>0</v>
      </c>
    </row>
    <row r="265" spans="1:8" x14ac:dyDescent="0.3">
      <c r="A265" s="89"/>
      <c r="B265" s="90" t="s">
        <v>872</v>
      </c>
      <c r="C265" s="89" t="s">
        <v>613</v>
      </c>
      <c r="D265" s="90" t="s">
        <v>625</v>
      </c>
      <c r="E265" s="91">
        <v>44224.954861111109</v>
      </c>
      <c r="F265" s="91">
        <v>44224.958333333336</v>
      </c>
      <c r="G265" s="89" t="s">
        <v>614</v>
      </c>
      <c r="H265" s="89">
        <v>0</v>
      </c>
    </row>
    <row r="266" spans="1:8" x14ac:dyDescent="0.3">
      <c r="A266" s="92"/>
      <c r="B266" s="93" t="s">
        <v>873</v>
      </c>
      <c r="C266" s="92" t="s">
        <v>613</v>
      </c>
      <c r="D266" s="93" t="s">
        <v>629</v>
      </c>
      <c r="E266" s="94">
        <v>44224.965277777781</v>
      </c>
      <c r="F266" s="94">
        <v>44224.966666666667</v>
      </c>
      <c r="G266" s="92" t="s">
        <v>614</v>
      </c>
      <c r="H266" s="92">
        <v>0</v>
      </c>
    </row>
    <row r="267" spans="1:8" x14ac:dyDescent="0.3">
      <c r="A267" s="89"/>
      <c r="B267" s="90" t="s">
        <v>874</v>
      </c>
      <c r="C267" s="89" t="s">
        <v>613</v>
      </c>
      <c r="D267" s="90" t="s">
        <v>628</v>
      </c>
      <c r="E267" s="91">
        <v>44224.965277777781</v>
      </c>
      <c r="F267" s="91">
        <v>44224.966666666667</v>
      </c>
      <c r="G267" s="89" t="s">
        <v>614</v>
      </c>
      <c r="H267" s="89">
        <v>0</v>
      </c>
    </row>
    <row r="268" spans="1:8" x14ac:dyDescent="0.3">
      <c r="A268" s="92"/>
      <c r="B268" s="93" t="s">
        <v>875</v>
      </c>
      <c r="C268" s="92" t="s">
        <v>613</v>
      </c>
      <c r="D268" s="93" t="s">
        <v>630</v>
      </c>
      <c r="E268" s="94">
        <v>44224.96875</v>
      </c>
      <c r="F268" s="94">
        <v>44224.970138888886</v>
      </c>
      <c r="G268" s="92" t="s">
        <v>614</v>
      </c>
      <c r="H268" s="92">
        <v>0</v>
      </c>
    </row>
    <row r="269" spans="1:8" x14ac:dyDescent="0.3">
      <c r="A269" s="89"/>
      <c r="B269" s="90" t="s">
        <v>876</v>
      </c>
      <c r="C269" s="89" t="s">
        <v>613</v>
      </c>
      <c r="D269" s="90" t="s">
        <v>631</v>
      </c>
      <c r="E269" s="91">
        <v>44224.96875</v>
      </c>
      <c r="F269" s="91">
        <v>44224.970138888886</v>
      </c>
      <c r="G269" s="89" t="s">
        <v>614</v>
      </c>
      <c r="H269" s="89">
        <v>0</v>
      </c>
    </row>
    <row r="270" spans="1:8" x14ac:dyDescent="0.3">
      <c r="A270" s="92"/>
      <c r="B270" s="93" t="s">
        <v>877</v>
      </c>
      <c r="C270" s="92" t="s">
        <v>613</v>
      </c>
      <c r="D270" s="93" t="s">
        <v>624</v>
      </c>
      <c r="E270" s="94">
        <v>44224.954861111109</v>
      </c>
      <c r="F270" s="94">
        <v>44224.959027777775</v>
      </c>
      <c r="G270" s="92" t="s">
        <v>614</v>
      </c>
      <c r="H270" s="92">
        <v>0</v>
      </c>
    </row>
    <row r="271" spans="1:8" x14ac:dyDescent="0.3">
      <c r="A271" s="89"/>
      <c r="B271" s="90" t="s">
        <v>878</v>
      </c>
      <c r="C271" s="89" t="s">
        <v>613</v>
      </c>
      <c r="D271" s="90" t="s">
        <v>632</v>
      </c>
      <c r="E271" s="91">
        <v>44224.96875</v>
      </c>
      <c r="F271" s="91">
        <v>44224.970138888886</v>
      </c>
      <c r="G271" s="89" t="s">
        <v>614</v>
      </c>
      <c r="H271" s="89">
        <v>0</v>
      </c>
    </row>
    <row r="272" spans="1:8" x14ac:dyDescent="0.3">
      <c r="A272" s="92"/>
      <c r="B272" s="93" t="s">
        <v>879</v>
      </c>
      <c r="C272" s="92" t="s">
        <v>613</v>
      </c>
      <c r="D272" s="93" t="s">
        <v>633</v>
      </c>
      <c r="E272" s="94">
        <v>44224.972222222219</v>
      </c>
      <c r="F272" s="94">
        <v>44224.973611111112</v>
      </c>
      <c r="G272" s="92" t="s">
        <v>614</v>
      </c>
      <c r="H272" s="92">
        <v>0</v>
      </c>
    </row>
    <row r="273" spans="1:8" x14ac:dyDescent="0.3">
      <c r="A273" s="89"/>
      <c r="B273" s="90" t="s">
        <v>880</v>
      </c>
      <c r="C273" s="89" t="s">
        <v>613</v>
      </c>
      <c r="D273" s="90" t="s">
        <v>634</v>
      </c>
      <c r="E273" s="91">
        <v>44224.972222222219</v>
      </c>
      <c r="F273" s="91">
        <v>44224.973611111112</v>
      </c>
      <c r="G273" s="89" t="s">
        <v>614</v>
      </c>
      <c r="H273" s="89">
        <v>0</v>
      </c>
    </row>
    <row r="274" spans="1:8" x14ac:dyDescent="0.3">
      <c r="A274" s="92"/>
      <c r="B274" s="93" t="s">
        <v>881</v>
      </c>
      <c r="C274" s="92" t="s">
        <v>613</v>
      </c>
      <c r="D274" s="93" t="s">
        <v>617</v>
      </c>
      <c r="E274" s="94">
        <v>44224.947916666664</v>
      </c>
      <c r="F274" s="94">
        <v>44224.952777777777</v>
      </c>
      <c r="G274" s="92" t="s">
        <v>614</v>
      </c>
      <c r="H274" s="92">
        <v>0</v>
      </c>
    </row>
    <row r="275" spans="1:8" x14ac:dyDescent="0.3">
      <c r="A275" s="89"/>
      <c r="B275" s="90" t="s">
        <v>882</v>
      </c>
      <c r="C275" s="89" t="s">
        <v>613</v>
      </c>
      <c r="D275" s="90" t="s">
        <v>618</v>
      </c>
      <c r="E275" s="91">
        <v>44224.947916666664</v>
      </c>
      <c r="F275" s="91">
        <v>44224.95</v>
      </c>
      <c r="G275" s="89" t="s">
        <v>614</v>
      </c>
      <c r="H275" s="89">
        <v>0</v>
      </c>
    </row>
    <row r="276" spans="1:8" x14ac:dyDescent="0.3">
      <c r="A276" s="92"/>
      <c r="B276" s="93" t="s">
        <v>883</v>
      </c>
      <c r="C276" s="92" t="s">
        <v>613</v>
      </c>
      <c r="D276" s="93" t="s">
        <v>619</v>
      </c>
      <c r="E276" s="94">
        <v>44224.947916666664</v>
      </c>
      <c r="F276" s="94">
        <v>44224.95</v>
      </c>
      <c r="G276" s="92" t="s">
        <v>614</v>
      </c>
      <c r="H276" s="92">
        <v>0</v>
      </c>
    </row>
    <row r="277" spans="1:8" x14ac:dyDescent="0.3">
      <c r="A277" s="89"/>
      <c r="B277" s="90" t="s">
        <v>884</v>
      </c>
      <c r="C277" s="89" t="s">
        <v>613</v>
      </c>
      <c r="D277" s="90" t="s">
        <v>623</v>
      </c>
      <c r="E277" s="91">
        <v>44224.954861111109</v>
      </c>
      <c r="F277" s="91">
        <v>44224.958333333336</v>
      </c>
      <c r="G277" s="89" t="s">
        <v>614</v>
      </c>
      <c r="H277" s="89">
        <v>0</v>
      </c>
    </row>
    <row r="278" spans="1:8" x14ac:dyDescent="0.3">
      <c r="A278" s="92"/>
      <c r="B278" s="93" t="s">
        <v>885</v>
      </c>
      <c r="C278" s="92" t="s">
        <v>613</v>
      </c>
      <c r="D278" s="93" t="s">
        <v>635</v>
      </c>
      <c r="E278" s="94">
        <v>44224.972222222219</v>
      </c>
      <c r="F278" s="94">
        <v>44224.973611111112</v>
      </c>
      <c r="G278" s="92" t="s">
        <v>614</v>
      </c>
      <c r="H278" s="92">
        <v>0</v>
      </c>
    </row>
    <row r="279" spans="1:8" x14ac:dyDescent="0.3">
      <c r="A279" s="89"/>
      <c r="B279" s="90" t="s">
        <v>886</v>
      </c>
      <c r="C279" s="89" t="s">
        <v>613</v>
      </c>
      <c r="D279" s="90" t="s">
        <v>620</v>
      </c>
      <c r="E279" s="91">
        <v>44224.951388888891</v>
      </c>
      <c r="F279" s="91">
        <v>44224.953472222223</v>
      </c>
      <c r="G279" s="89" t="s">
        <v>614</v>
      </c>
      <c r="H279" s="89">
        <v>0</v>
      </c>
    </row>
    <row r="280" spans="1:8" x14ac:dyDescent="0.3">
      <c r="A280" s="92"/>
      <c r="B280" s="93" t="s">
        <v>887</v>
      </c>
      <c r="C280" s="92" t="s">
        <v>613</v>
      </c>
      <c r="D280" s="93" t="s">
        <v>621</v>
      </c>
      <c r="E280" s="94">
        <v>44224.951388888891</v>
      </c>
      <c r="F280" s="94">
        <v>44224.952777777777</v>
      </c>
      <c r="G280" s="92" t="s">
        <v>614</v>
      </c>
      <c r="H280" s="92">
        <v>0</v>
      </c>
    </row>
    <row r="281" spans="1:8" x14ac:dyDescent="0.3">
      <c r="A281" s="89"/>
      <c r="B281" s="90" t="s">
        <v>888</v>
      </c>
      <c r="C281" s="89" t="s">
        <v>613</v>
      </c>
      <c r="D281" s="90" t="s">
        <v>622</v>
      </c>
      <c r="E281" s="91">
        <v>44224.951388888891</v>
      </c>
      <c r="F281" s="91">
        <v>44224.953472222223</v>
      </c>
      <c r="G281" s="89" t="s">
        <v>614</v>
      </c>
      <c r="H281" s="89">
        <v>0</v>
      </c>
    </row>
    <row r="282" spans="1:8" x14ac:dyDescent="0.3">
      <c r="A282" s="92"/>
      <c r="B282" s="93" t="s">
        <v>889</v>
      </c>
      <c r="C282" s="92" t="s">
        <v>613</v>
      </c>
      <c r="D282" s="93" t="s">
        <v>636</v>
      </c>
      <c r="E282" s="94">
        <v>44224.975694444445</v>
      </c>
      <c r="F282" s="94">
        <v>44224.977083333331</v>
      </c>
      <c r="G282" s="92" t="s">
        <v>614</v>
      </c>
      <c r="H282" s="92">
        <v>0</v>
      </c>
    </row>
    <row r="283" spans="1:8" x14ac:dyDescent="0.3">
      <c r="A283" s="89"/>
      <c r="B283" s="90" t="s">
        <v>890</v>
      </c>
      <c r="C283" s="89" t="s">
        <v>613</v>
      </c>
      <c r="D283" s="90" t="s">
        <v>637</v>
      </c>
      <c r="E283" s="91">
        <v>44224.975694444445</v>
      </c>
      <c r="F283" s="91">
        <v>44224.977083333331</v>
      </c>
      <c r="G283" s="89" t="s">
        <v>614</v>
      </c>
      <c r="H283" s="89">
        <v>0</v>
      </c>
    </row>
    <row r="284" spans="1:8" x14ac:dyDescent="0.3">
      <c r="A284" s="92"/>
      <c r="B284" s="93" t="s">
        <v>891</v>
      </c>
      <c r="C284" s="92" t="s">
        <v>613</v>
      </c>
      <c r="D284" s="93" t="s">
        <v>638</v>
      </c>
      <c r="E284" s="94">
        <v>44224.975694444445</v>
      </c>
      <c r="F284" s="94">
        <v>44224.977083333331</v>
      </c>
      <c r="G284" s="92" t="s">
        <v>614</v>
      </c>
      <c r="H284" s="92">
        <v>0</v>
      </c>
    </row>
    <row r="285" spans="1:8" x14ac:dyDescent="0.3">
      <c r="A285" s="89"/>
      <c r="B285" s="90" t="s">
        <v>892</v>
      </c>
      <c r="C285" s="89" t="s">
        <v>613</v>
      </c>
      <c r="D285" s="90" t="s">
        <v>626</v>
      </c>
      <c r="E285" s="91">
        <v>44224.954861111109</v>
      </c>
      <c r="F285" s="91">
        <v>44224.957638888889</v>
      </c>
      <c r="G285" s="89" t="s">
        <v>614</v>
      </c>
      <c r="H285" s="89">
        <v>0</v>
      </c>
    </row>
    <row r="286" spans="1:8" x14ac:dyDescent="0.3">
      <c r="A286" s="92"/>
      <c r="B286" s="93" t="s">
        <v>893</v>
      </c>
      <c r="C286" s="92" t="s">
        <v>613</v>
      </c>
      <c r="D286" s="93" t="s">
        <v>627</v>
      </c>
      <c r="E286" s="94">
        <v>44224.965277777781</v>
      </c>
      <c r="F286" s="94">
        <v>44224.966666666667</v>
      </c>
      <c r="G286" s="92" t="s">
        <v>614</v>
      </c>
      <c r="H286" s="92">
        <v>0</v>
      </c>
    </row>
    <row r="287" spans="1:8" x14ac:dyDescent="0.3">
      <c r="A287" s="89"/>
      <c r="B287" s="90" t="s">
        <v>894</v>
      </c>
      <c r="C287" s="89" t="s">
        <v>613</v>
      </c>
      <c r="D287" s="90" t="s">
        <v>625</v>
      </c>
      <c r="E287" s="91">
        <v>44224.954861111109</v>
      </c>
      <c r="F287" s="91">
        <v>44224.958333333336</v>
      </c>
      <c r="G287" s="89" t="s">
        <v>614</v>
      </c>
      <c r="H287" s="89">
        <v>0</v>
      </c>
    </row>
    <row r="288" spans="1:8" x14ac:dyDescent="0.3">
      <c r="A288" s="92"/>
      <c r="B288" s="93" t="s">
        <v>895</v>
      </c>
      <c r="C288" s="92" t="s">
        <v>613</v>
      </c>
      <c r="D288" s="93" t="s">
        <v>629</v>
      </c>
      <c r="E288" s="94">
        <v>44224.965277777781</v>
      </c>
      <c r="F288" s="94">
        <v>44224.966666666667</v>
      </c>
      <c r="G288" s="92" t="s">
        <v>614</v>
      </c>
      <c r="H288" s="92">
        <v>0</v>
      </c>
    </row>
    <row r="289" spans="1:8" x14ac:dyDescent="0.3">
      <c r="A289" s="89"/>
      <c r="B289" s="90" t="s">
        <v>896</v>
      </c>
      <c r="C289" s="89" t="s">
        <v>613</v>
      </c>
      <c r="D289" s="90" t="s">
        <v>628</v>
      </c>
      <c r="E289" s="91">
        <v>44224.965277777781</v>
      </c>
      <c r="F289" s="91">
        <v>44224.966666666667</v>
      </c>
      <c r="G289" s="89" t="s">
        <v>614</v>
      </c>
      <c r="H289" s="89">
        <v>0</v>
      </c>
    </row>
    <row r="290" spans="1:8" x14ac:dyDescent="0.3">
      <c r="A290" s="92"/>
      <c r="B290" s="93" t="s">
        <v>897</v>
      </c>
      <c r="C290" s="92" t="s">
        <v>613</v>
      </c>
      <c r="D290" s="93" t="s">
        <v>630</v>
      </c>
      <c r="E290" s="94">
        <v>44224.96875</v>
      </c>
      <c r="F290" s="94">
        <v>44224.970138888886</v>
      </c>
      <c r="G290" s="92" t="s">
        <v>614</v>
      </c>
      <c r="H290" s="92">
        <v>0</v>
      </c>
    </row>
    <row r="291" spans="1:8" x14ac:dyDescent="0.3">
      <c r="A291" s="89"/>
      <c r="B291" s="90" t="s">
        <v>898</v>
      </c>
      <c r="C291" s="89" t="s">
        <v>613</v>
      </c>
      <c r="D291" s="90" t="s">
        <v>631</v>
      </c>
      <c r="E291" s="91">
        <v>44224.96875</v>
      </c>
      <c r="F291" s="91">
        <v>44224.970138888886</v>
      </c>
      <c r="G291" s="89" t="s">
        <v>614</v>
      </c>
      <c r="H291" s="89">
        <v>0</v>
      </c>
    </row>
    <row r="292" spans="1:8" x14ac:dyDescent="0.3">
      <c r="A292" s="92"/>
      <c r="B292" s="93" t="s">
        <v>899</v>
      </c>
      <c r="C292" s="92" t="s">
        <v>613</v>
      </c>
      <c r="D292" s="93" t="s">
        <v>624</v>
      </c>
      <c r="E292" s="94">
        <v>44224.954861111109</v>
      </c>
      <c r="F292" s="94">
        <v>44224.959027777775</v>
      </c>
      <c r="G292" s="92" t="s">
        <v>614</v>
      </c>
      <c r="H292" s="92">
        <v>0</v>
      </c>
    </row>
    <row r="293" spans="1:8" x14ac:dyDescent="0.3">
      <c r="A293" s="89"/>
      <c r="B293" s="90" t="s">
        <v>900</v>
      </c>
      <c r="C293" s="89" t="s">
        <v>613</v>
      </c>
      <c r="D293" s="90" t="s">
        <v>632</v>
      </c>
      <c r="E293" s="91">
        <v>44224.96875</v>
      </c>
      <c r="F293" s="91">
        <v>44224.970138888886</v>
      </c>
      <c r="G293" s="89" t="s">
        <v>614</v>
      </c>
      <c r="H293" s="89">
        <v>0</v>
      </c>
    </row>
    <row r="294" spans="1:8" x14ac:dyDescent="0.3">
      <c r="A294" s="92"/>
      <c r="B294" s="93" t="s">
        <v>901</v>
      </c>
      <c r="C294" s="92" t="s">
        <v>613</v>
      </c>
      <c r="D294" s="93" t="s">
        <v>633</v>
      </c>
      <c r="E294" s="94">
        <v>44224.972222222219</v>
      </c>
      <c r="F294" s="94">
        <v>44224.972916666666</v>
      </c>
      <c r="G294" s="92" t="s">
        <v>614</v>
      </c>
      <c r="H294" s="92">
        <v>0</v>
      </c>
    </row>
    <row r="295" spans="1:8" x14ac:dyDescent="0.3">
      <c r="A295" s="89"/>
      <c r="B295" s="90" t="s">
        <v>902</v>
      </c>
      <c r="C295" s="89" t="s">
        <v>613</v>
      </c>
      <c r="D295" s="90" t="s">
        <v>634</v>
      </c>
      <c r="E295" s="91">
        <v>44224.972222222219</v>
      </c>
      <c r="F295" s="91">
        <v>44224.973611111112</v>
      </c>
      <c r="G295" s="89" t="s">
        <v>614</v>
      </c>
      <c r="H295" s="89">
        <v>0</v>
      </c>
    </row>
    <row r="296" spans="1:8" x14ac:dyDescent="0.3">
      <c r="A296" s="92"/>
      <c r="B296" s="93" t="s">
        <v>903</v>
      </c>
      <c r="C296" s="92" t="s">
        <v>613</v>
      </c>
      <c r="D296" s="93" t="s">
        <v>617</v>
      </c>
      <c r="E296" s="94">
        <v>44224.947916666664</v>
      </c>
      <c r="F296" s="94">
        <v>44224.950694444444</v>
      </c>
      <c r="G296" s="92" t="s">
        <v>614</v>
      </c>
      <c r="H296" s="92">
        <v>0</v>
      </c>
    </row>
    <row r="297" spans="1:8" x14ac:dyDescent="0.3">
      <c r="A297" s="89"/>
      <c r="B297" s="90" t="s">
        <v>904</v>
      </c>
      <c r="C297" s="89" t="s">
        <v>613</v>
      </c>
      <c r="D297" s="90" t="s">
        <v>618</v>
      </c>
      <c r="E297" s="91">
        <v>44224.947916666664</v>
      </c>
      <c r="F297" s="91">
        <v>44224.949305555558</v>
      </c>
      <c r="G297" s="89" t="s">
        <v>614</v>
      </c>
      <c r="H297" s="89">
        <v>0</v>
      </c>
    </row>
    <row r="298" spans="1:8" x14ac:dyDescent="0.3">
      <c r="A298" s="92"/>
      <c r="B298" s="93" t="s">
        <v>905</v>
      </c>
      <c r="C298" s="92" t="s">
        <v>613</v>
      </c>
      <c r="D298" s="93" t="s">
        <v>619</v>
      </c>
      <c r="E298" s="94">
        <v>44224.947916666664</v>
      </c>
      <c r="F298" s="94">
        <v>44224.949305555558</v>
      </c>
      <c r="G298" s="92" t="s">
        <v>614</v>
      </c>
      <c r="H298" s="92">
        <v>0</v>
      </c>
    </row>
    <row r="299" spans="1:8" x14ac:dyDescent="0.3">
      <c r="A299" s="89"/>
      <c r="B299" s="90" t="s">
        <v>906</v>
      </c>
      <c r="C299" s="89" t="s">
        <v>613</v>
      </c>
      <c r="D299" s="90" t="s">
        <v>623</v>
      </c>
      <c r="E299" s="91">
        <v>44224.954861111109</v>
      </c>
      <c r="F299" s="91">
        <v>44224.958333333336</v>
      </c>
      <c r="G299" s="89" t="s">
        <v>614</v>
      </c>
      <c r="H299" s="89">
        <v>0</v>
      </c>
    </row>
    <row r="300" spans="1:8" x14ac:dyDescent="0.3">
      <c r="A300" s="92"/>
      <c r="B300" s="93" t="s">
        <v>907</v>
      </c>
      <c r="C300" s="92" t="s">
        <v>613</v>
      </c>
      <c r="D300" s="93" t="s">
        <v>635</v>
      </c>
      <c r="E300" s="94">
        <v>44224.972222222219</v>
      </c>
      <c r="F300" s="94">
        <v>44224.973611111112</v>
      </c>
      <c r="G300" s="92" t="s">
        <v>614</v>
      </c>
      <c r="H300" s="92">
        <v>0</v>
      </c>
    </row>
    <row r="301" spans="1:8" x14ac:dyDescent="0.3">
      <c r="A301" s="89"/>
      <c r="B301" s="90" t="s">
        <v>908</v>
      </c>
      <c r="C301" s="89" t="s">
        <v>613</v>
      </c>
      <c r="D301" s="90" t="s">
        <v>620</v>
      </c>
      <c r="E301" s="91">
        <v>44224.951388888891</v>
      </c>
      <c r="F301" s="91">
        <v>44224.953472222223</v>
      </c>
      <c r="G301" s="89" t="s">
        <v>614</v>
      </c>
      <c r="H301" s="89">
        <v>0</v>
      </c>
    </row>
    <row r="302" spans="1:8" x14ac:dyDescent="0.3">
      <c r="A302" s="92"/>
      <c r="B302" s="93" t="s">
        <v>909</v>
      </c>
      <c r="C302" s="92" t="s">
        <v>613</v>
      </c>
      <c r="D302" s="93" t="s">
        <v>621</v>
      </c>
      <c r="E302" s="94">
        <v>44224.951388888891</v>
      </c>
      <c r="F302" s="94">
        <v>44224.953472222223</v>
      </c>
      <c r="G302" s="92" t="s">
        <v>614</v>
      </c>
      <c r="H302" s="92">
        <v>0</v>
      </c>
    </row>
    <row r="303" spans="1:8" x14ac:dyDescent="0.3">
      <c r="A303" s="89"/>
      <c r="B303" s="90" t="s">
        <v>910</v>
      </c>
      <c r="C303" s="89" t="s">
        <v>613</v>
      </c>
      <c r="D303" s="90" t="s">
        <v>622</v>
      </c>
      <c r="E303" s="91">
        <v>44224.951388888891</v>
      </c>
      <c r="F303" s="91">
        <v>44224.953472222223</v>
      </c>
      <c r="G303" s="89" t="s">
        <v>614</v>
      </c>
      <c r="H303" s="89">
        <v>0</v>
      </c>
    </row>
    <row r="304" spans="1:8" x14ac:dyDescent="0.3">
      <c r="A304" s="92"/>
      <c r="B304" s="93" t="s">
        <v>911</v>
      </c>
      <c r="C304" s="92" t="s">
        <v>613</v>
      </c>
      <c r="D304" s="93" t="s">
        <v>636</v>
      </c>
      <c r="E304" s="94">
        <v>44224.975694444445</v>
      </c>
      <c r="F304" s="94">
        <v>44224.977083333331</v>
      </c>
      <c r="G304" s="92" t="s">
        <v>614</v>
      </c>
      <c r="H304" s="92">
        <v>0</v>
      </c>
    </row>
    <row r="305" spans="1:8" x14ac:dyDescent="0.3">
      <c r="A305" s="89"/>
      <c r="B305" s="90" t="s">
        <v>912</v>
      </c>
      <c r="C305" s="89" t="s">
        <v>613</v>
      </c>
      <c r="D305" s="90" t="s">
        <v>637</v>
      </c>
      <c r="E305" s="91">
        <v>44224.975694444445</v>
      </c>
      <c r="F305" s="91">
        <v>44224.977083333331</v>
      </c>
      <c r="G305" s="89" t="s">
        <v>614</v>
      </c>
      <c r="H305" s="89">
        <v>0</v>
      </c>
    </row>
    <row r="306" spans="1:8" x14ac:dyDescent="0.3">
      <c r="A306" s="92"/>
      <c r="B306" s="93" t="s">
        <v>913</v>
      </c>
      <c r="C306" s="92" t="s">
        <v>613</v>
      </c>
      <c r="D306" s="93" t="s">
        <v>638</v>
      </c>
      <c r="E306" s="94">
        <v>44224.975694444445</v>
      </c>
      <c r="F306" s="94">
        <v>44224.977083333331</v>
      </c>
      <c r="G306" s="92" t="s">
        <v>614</v>
      </c>
      <c r="H306" s="92">
        <v>0</v>
      </c>
    </row>
    <row r="307" spans="1:8" x14ac:dyDescent="0.3">
      <c r="A307" s="89"/>
      <c r="B307" s="90" t="s">
        <v>914</v>
      </c>
      <c r="C307" s="89" t="s">
        <v>613</v>
      </c>
      <c r="D307" s="90" t="s">
        <v>626</v>
      </c>
      <c r="E307" s="91">
        <v>44224.954861111109</v>
      </c>
      <c r="F307" s="91">
        <v>44224.957638888889</v>
      </c>
      <c r="G307" s="89" t="s">
        <v>614</v>
      </c>
      <c r="H307" s="89">
        <v>0</v>
      </c>
    </row>
    <row r="308" spans="1:8" x14ac:dyDescent="0.3">
      <c r="A308" s="92"/>
      <c r="B308" s="93" t="s">
        <v>915</v>
      </c>
      <c r="C308" s="92" t="s">
        <v>613</v>
      </c>
      <c r="D308" s="93" t="s">
        <v>627</v>
      </c>
      <c r="E308" s="94">
        <v>44224.965277777781</v>
      </c>
      <c r="F308" s="94">
        <v>44224.966666666667</v>
      </c>
      <c r="G308" s="92" t="s">
        <v>614</v>
      </c>
      <c r="H308" s="92">
        <v>0</v>
      </c>
    </row>
    <row r="309" spans="1:8" x14ac:dyDescent="0.3">
      <c r="A309" s="89"/>
      <c r="B309" s="90" t="s">
        <v>916</v>
      </c>
      <c r="C309" s="89" t="s">
        <v>613</v>
      </c>
      <c r="D309" s="90" t="s">
        <v>625</v>
      </c>
      <c r="E309" s="91">
        <v>44224.954861111109</v>
      </c>
      <c r="F309" s="91">
        <v>44224.958333333336</v>
      </c>
      <c r="G309" s="89" t="s">
        <v>614</v>
      </c>
      <c r="H309" s="89">
        <v>0</v>
      </c>
    </row>
    <row r="310" spans="1:8" x14ac:dyDescent="0.3">
      <c r="A310" s="92"/>
      <c r="B310" s="93" t="s">
        <v>917</v>
      </c>
      <c r="C310" s="92" t="s">
        <v>613</v>
      </c>
      <c r="D310" s="93" t="s">
        <v>629</v>
      </c>
      <c r="E310" s="94">
        <v>44224.965277777781</v>
      </c>
      <c r="F310" s="94">
        <v>44224.966666666667</v>
      </c>
      <c r="G310" s="92" t="s">
        <v>614</v>
      </c>
      <c r="H310" s="92">
        <v>0</v>
      </c>
    </row>
    <row r="311" spans="1:8" x14ac:dyDescent="0.3">
      <c r="A311" s="89"/>
      <c r="B311" s="90" t="s">
        <v>918</v>
      </c>
      <c r="C311" s="89" t="s">
        <v>613</v>
      </c>
      <c r="D311" s="90" t="s">
        <v>628</v>
      </c>
      <c r="E311" s="91">
        <v>44224.965277777781</v>
      </c>
      <c r="F311" s="91">
        <v>44224.966666666667</v>
      </c>
      <c r="G311" s="89" t="s">
        <v>614</v>
      </c>
      <c r="H311" s="89">
        <v>0</v>
      </c>
    </row>
    <row r="312" spans="1:8" x14ac:dyDescent="0.3">
      <c r="A312" s="92"/>
      <c r="B312" s="93" t="s">
        <v>919</v>
      </c>
      <c r="C312" s="92" t="s">
        <v>613</v>
      </c>
      <c r="D312" s="93" t="s">
        <v>630</v>
      </c>
      <c r="E312" s="94">
        <v>44224.96875</v>
      </c>
      <c r="F312" s="94">
        <v>44224.970138888886</v>
      </c>
      <c r="G312" s="92" t="s">
        <v>614</v>
      </c>
      <c r="H312" s="92">
        <v>0</v>
      </c>
    </row>
    <row r="313" spans="1:8" x14ac:dyDescent="0.3">
      <c r="A313" s="89"/>
      <c r="B313" s="90" t="s">
        <v>920</v>
      </c>
      <c r="C313" s="89" t="s">
        <v>613</v>
      </c>
      <c r="D313" s="90" t="s">
        <v>631</v>
      </c>
      <c r="E313" s="91">
        <v>44224.96875</v>
      </c>
      <c r="F313" s="91">
        <v>44224.970138888886</v>
      </c>
      <c r="G313" s="89" t="s">
        <v>614</v>
      </c>
      <c r="H313" s="89">
        <v>0</v>
      </c>
    </row>
    <row r="314" spans="1:8" x14ac:dyDescent="0.3">
      <c r="A314" s="92"/>
      <c r="B314" s="93" t="s">
        <v>921</v>
      </c>
      <c r="C314" s="92" t="s">
        <v>613</v>
      </c>
      <c r="D314" s="93" t="s">
        <v>624</v>
      </c>
      <c r="E314" s="94">
        <v>44224.954861111109</v>
      </c>
      <c r="F314" s="94">
        <v>44224.959027777775</v>
      </c>
      <c r="G314" s="92" t="s">
        <v>614</v>
      </c>
      <c r="H314" s="92">
        <v>0</v>
      </c>
    </row>
    <row r="315" spans="1:8" x14ac:dyDescent="0.3">
      <c r="A315" s="89"/>
      <c r="B315" s="90" t="s">
        <v>922</v>
      </c>
      <c r="C315" s="89" t="s">
        <v>613</v>
      </c>
      <c r="D315" s="90" t="s">
        <v>632</v>
      </c>
      <c r="E315" s="91">
        <v>44224.96875</v>
      </c>
      <c r="F315" s="91">
        <v>44224.970138888886</v>
      </c>
      <c r="G315" s="89" t="s">
        <v>614</v>
      </c>
      <c r="H315" s="89">
        <v>0</v>
      </c>
    </row>
    <row r="316" spans="1:8" x14ac:dyDescent="0.3">
      <c r="A316" s="92"/>
      <c r="B316" s="93" t="s">
        <v>923</v>
      </c>
      <c r="C316" s="92" t="s">
        <v>613</v>
      </c>
      <c r="D316" s="93" t="s">
        <v>633</v>
      </c>
      <c r="E316" s="94">
        <v>44224.972222222219</v>
      </c>
      <c r="F316" s="94">
        <v>44224.972916666666</v>
      </c>
      <c r="G316" s="92" t="s">
        <v>614</v>
      </c>
      <c r="H316" s="92">
        <v>0</v>
      </c>
    </row>
    <row r="317" spans="1:8" x14ac:dyDescent="0.3">
      <c r="A317" s="89"/>
      <c r="B317" s="90" t="s">
        <v>924</v>
      </c>
      <c r="C317" s="89" t="s">
        <v>613</v>
      </c>
      <c r="D317" s="90" t="s">
        <v>634</v>
      </c>
      <c r="E317" s="91">
        <v>44224.972222222219</v>
      </c>
      <c r="F317" s="91">
        <v>44224.972916666666</v>
      </c>
      <c r="G317" s="89" t="s">
        <v>614</v>
      </c>
      <c r="H317" s="89">
        <v>0</v>
      </c>
    </row>
    <row r="318" spans="1:8" x14ac:dyDescent="0.3">
      <c r="A318" s="92"/>
      <c r="B318" s="93" t="s">
        <v>925</v>
      </c>
      <c r="C318" s="92" t="s">
        <v>613</v>
      </c>
      <c r="D318" s="93" t="s">
        <v>617</v>
      </c>
      <c r="E318" s="94">
        <v>44224.947916666664</v>
      </c>
      <c r="F318" s="94">
        <v>44224.958333333336</v>
      </c>
      <c r="G318" s="92" t="s">
        <v>614</v>
      </c>
      <c r="H318" s="92">
        <v>0</v>
      </c>
    </row>
    <row r="319" spans="1:8" x14ac:dyDescent="0.3">
      <c r="A319" s="89"/>
      <c r="B319" s="90" t="s">
        <v>926</v>
      </c>
      <c r="C319" s="89" t="s">
        <v>613</v>
      </c>
      <c r="D319" s="90" t="s">
        <v>618</v>
      </c>
      <c r="E319" s="91">
        <v>44224.947916666664</v>
      </c>
      <c r="F319" s="91">
        <v>44224.950694444444</v>
      </c>
      <c r="G319" s="89" t="s">
        <v>614</v>
      </c>
      <c r="H319" s="89">
        <v>0</v>
      </c>
    </row>
    <row r="320" spans="1:8" x14ac:dyDescent="0.3">
      <c r="A320" s="92"/>
      <c r="B320" s="93" t="s">
        <v>927</v>
      </c>
      <c r="C320" s="92" t="s">
        <v>613</v>
      </c>
      <c r="D320" s="93" t="s">
        <v>619</v>
      </c>
      <c r="E320" s="94">
        <v>44224.947916666664</v>
      </c>
      <c r="F320" s="94">
        <v>44224.950694444444</v>
      </c>
      <c r="G320" s="92" t="s">
        <v>614</v>
      </c>
      <c r="H320" s="92">
        <v>0</v>
      </c>
    </row>
    <row r="321" spans="1:8" x14ac:dyDescent="0.3">
      <c r="A321" s="89"/>
      <c r="B321" s="90" t="s">
        <v>928</v>
      </c>
      <c r="C321" s="89" t="s">
        <v>613</v>
      </c>
      <c r="D321" s="90" t="s">
        <v>623</v>
      </c>
      <c r="E321" s="91">
        <v>44224.954861111109</v>
      </c>
      <c r="F321" s="91">
        <v>44224.956944444442</v>
      </c>
      <c r="G321" s="89" t="s">
        <v>614</v>
      </c>
      <c r="H321" s="89">
        <v>0</v>
      </c>
    </row>
    <row r="322" spans="1:8" x14ac:dyDescent="0.3">
      <c r="A322" s="92"/>
      <c r="B322" s="93" t="s">
        <v>929</v>
      </c>
      <c r="C322" s="92" t="s">
        <v>613</v>
      </c>
      <c r="D322" s="93" t="s">
        <v>635</v>
      </c>
      <c r="E322" s="94">
        <v>44224.972222222219</v>
      </c>
      <c r="F322" s="94">
        <v>44224.973611111112</v>
      </c>
      <c r="G322" s="92" t="s">
        <v>614</v>
      </c>
      <c r="H322" s="92">
        <v>0</v>
      </c>
    </row>
    <row r="323" spans="1:8" x14ac:dyDescent="0.3">
      <c r="A323" s="89"/>
      <c r="B323" s="90" t="s">
        <v>930</v>
      </c>
      <c r="C323" s="89" t="s">
        <v>613</v>
      </c>
      <c r="D323" s="90" t="s">
        <v>620</v>
      </c>
      <c r="E323" s="91">
        <v>44224.951388888891</v>
      </c>
      <c r="F323" s="91">
        <v>44224.953472222223</v>
      </c>
      <c r="G323" s="89" t="s">
        <v>614</v>
      </c>
      <c r="H323" s="89">
        <v>0</v>
      </c>
    </row>
    <row r="324" spans="1:8" x14ac:dyDescent="0.3">
      <c r="A324" s="92"/>
      <c r="B324" s="93" t="s">
        <v>931</v>
      </c>
      <c r="C324" s="92" t="s">
        <v>613</v>
      </c>
      <c r="D324" s="93" t="s">
        <v>621</v>
      </c>
      <c r="E324" s="94">
        <v>44224.951388888891</v>
      </c>
      <c r="F324" s="94">
        <v>44224.953472222223</v>
      </c>
      <c r="G324" s="92" t="s">
        <v>614</v>
      </c>
      <c r="H324" s="92">
        <v>0</v>
      </c>
    </row>
    <row r="325" spans="1:8" x14ac:dyDescent="0.3">
      <c r="A325" s="89"/>
      <c r="B325" s="90" t="s">
        <v>932</v>
      </c>
      <c r="C325" s="89" t="s">
        <v>613</v>
      </c>
      <c r="D325" s="90" t="s">
        <v>622</v>
      </c>
      <c r="E325" s="91">
        <v>44224.951388888891</v>
      </c>
      <c r="F325" s="91">
        <v>44224.952777777777</v>
      </c>
      <c r="G325" s="89" t="s">
        <v>614</v>
      </c>
      <c r="H325" s="89">
        <v>0</v>
      </c>
    </row>
    <row r="326" spans="1:8" x14ac:dyDescent="0.3">
      <c r="A326" s="92"/>
      <c r="B326" s="93" t="s">
        <v>933</v>
      </c>
      <c r="C326" s="92" t="s">
        <v>613</v>
      </c>
      <c r="D326" s="93" t="s">
        <v>636</v>
      </c>
      <c r="E326" s="94">
        <v>44224.975694444445</v>
      </c>
      <c r="F326" s="94">
        <v>44224.977083333331</v>
      </c>
      <c r="G326" s="92" t="s">
        <v>614</v>
      </c>
      <c r="H326" s="92">
        <v>0</v>
      </c>
    </row>
    <row r="327" spans="1:8" x14ac:dyDescent="0.3">
      <c r="A327" s="89"/>
      <c r="B327" s="90" t="s">
        <v>934</v>
      </c>
      <c r="C327" s="89" t="s">
        <v>613</v>
      </c>
      <c r="D327" s="90" t="s">
        <v>637</v>
      </c>
      <c r="E327" s="91">
        <v>44224.975694444445</v>
      </c>
      <c r="F327" s="91">
        <v>44224.977083333331</v>
      </c>
      <c r="G327" s="89" t="s">
        <v>614</v>
      </c>
      <c r="H327" s="89">
        <v>0</v>
      </c>
    </row>
    <row r="328" spans="1:8" x14ac:dyDescent="0.3">
      <c r="A328" s="92"/>
      <c r="B328" s="93" t="s">
        <v>935</v>
      </c>
      <c r="C328" s="92" t="s">
        <v>613</v>
      </c>
      <c r="D328" s="93" t="s">
        <v>638</v>
      </c>
      <c r="E328" s="94">
        <v>44224.975694444445</v>
      </c>
      <c r="F328" s="94">
        <v>44224.976388888892</v>
      </c>
      <c r="G328" s="92" t="s">
        <v>614</v>
      </c>
      <c r="H328" s="92">
        <v>0</v>
      </c>
    </row>
    <row r="329" spans="1:8" x14ac:dyDescent="0.3">
      <c r="A329" s="89"/>
      <c r="B329" s="90" t="s">
        <v>936</v>
      </c>
      <c r="C329" s="89" t="s">
        <v>613</v>
      </c>
      <c r="D329" s="90" t="s">
        <v>626</v>
      </c>
      <c r="E329" s="91">
        <v>44224.954861111109</v>
      </c>
      <c r="F329" s="91">
        <v>44224.956944444442</v>
      </c>
      <c r="G329" s="89" t="s">
        <v>614</v>
      </c>
      <c r="H329" s="89">
        <v>0</v>
      </c>
    </row>
    <row r="330" spans="1:8" x14ac:dyDescent="0.3">
      <c r="A330" s="92"/>
      <c r="B330" s="93" t="s">
        <v>937</v>
      </c>
      <c r="C330" s="92" t="s">
        <v>613</v>
      </c>
      <c r="D330" s="93" t="s">
        <v>627</v>
      </c>
      <c r="E330" s="94">
        <v>44224.965277777781</v>
      </c>
      <c r="F330" s="94">
        <v>44224.966666666667</v>
      </c>
      <c r="G330" s="92" t="s">
        <v>614</v>
      </c>
      <c r="H330" s="92">
        <v>0</v>
      </c>
    </row>
    <row r="331" spans="1:8" x14ac:dyDescent="0.3">
      <c r="A331" s="89"/>
      <c r="B331" s="90" t="s">
        <v>938</v>
      </c>
      <c r="C331" s="89" t="s">
        <v>613</v>
      </c>
      <c r="D331" s="90" t="s">
        <v>625</v>
      </c>
      <c r="E331" s="91">
        <v>44224.954861111109</v>
      </c>
      <c r="F331" s="91">
        <v>44224.959027777775</v>
      </c>
      <c r="G331" s="89" t="s">
        <v>614</v>
      </c>
      <c r="H331" s="89">
        <v>0</v>
      </c>
    </row>
    <row r="332" spans="1:8" x14ac:dyDescent="0.3">
      <c r="A332" s="92"/>
      <c r="B332" s="93" t="s">
        <v>939</v>
      </c>
      <c r="C332" s="92" t="s">
        <v>613</v>
      </c>
      <c r="D332" s="93" t="s">
        <v>629</v>
      </c>
      <c r="E332" s="94">
        <v>44224.965277777781</v>
      </c>
      <c r="F332" s="94">
        <v>44224.966666666667</v>
      </c>
      <c r="G332" s="92" t="s">
        <v>614</v>
      </c>
      <c r="H332" s="92">
        <v>0</v>
      </c>
    </row>
    <row r="333" spans="1:8" x14ac:dyDescent="0.3">
      <c r="A333" s="89"/>
      <c r="B333" s="90" t="s">
        <v>940</v>
      </c>
      <c r="C333" s="89" t="s">
        <v>613</v>
      </c>
      <c r="D333" s="90" t="s">
        <v>628</v>
      </c>
      <c r="E333" s="91">
        <v>44224.965277777781</v>
      </c>
      <c r="F333" s="91">
        <v>44224.96597222222</v>
      </c>
      <c r="G333" s="89" t="s">
        <v>614</v>
      </c>
      <c r="H333" s="89">
        <v>0</v>
      </c>
    </row>
    <row r="334" spans="1:8" x14ac:dyDescent="0.3">
      <c r="A334" s="92"/>
      <c r="B334" s="93" t="s">
        <v>941</v>
      </c>
      <c r="C334" s="92" t="s">
        <v>613</v>
      </c>
      <c r="D334" s="93" t="s">
        <v>630</v>
      </c>
      <c r="E334" s="94">
        <v>44224.96875</v>
      </c>
      <c r="F334" s="94">
        <v>44224.970138888886</v>
      </c>
      <c r="G334" s="92" t="s">
        <v>614</v>
      </c>
      <c r="H334" s="92">
        <v>0</v>
      </c>
    </row>
    <row r="335" spans="1:8" x14ac:dyDescent="0.3">
      <c r="A335" s="89"/>
      <c r="B335" s="90" t="s">
        <v>942</v>
      </c>
      <c r="C335" s="89" t="s">
        <v>613</v>
      </c>
      <c r="D335" s="90" t="s">
        <v>631</v>
      </c>
      <c r="E335" s="91">
        <v>44224.96875</v>
      </c>
      <c r="F335" s="91">
        <v>44224.970138888886</v>
      </c>
      <c r="G335" s="89" t="s">
        <v>614</v>
      </c>
      <c r="H335" s="89">
        <v>0</v>
      </c>
    </row>
    <row r="336" spans="1:8" x14ac:dyDescent="0.3">
      <c r="A336" s="92"/>
      <c r="B336" s="93" t="s">
        <v>943</v>
      </c>
      <c r="C336" s="92" t="s">
        <v>613</v>
      </c>
      <c r="D336" s="93" t="s">
        <v>624</v>
      </c>
      <c r="E336" s="94">
        <v>44224.954861111109</v>
      </c>
      <c r="F336" s="94">
        <v>44224.959027777775</v>
      </c>
      <c r="G336" s="92" t="s">
        <v>614</v>
      </c>
      <c r="H336" s="92">
        <v>0</v>
      </c>
    </row>
    <row r="337" spans="1:8" x14ac:dyDescent="0.3">
      <c r="A337" s="89"/>
      <c r="B337" s="90" t="s">
        <v>944</v>
      </c>
      <c r="C337" s="89" t="s">
        <v>613</v>
      </c>
      <c r="D337" s="90" t="s">
        <v>632</v>
      </c>
      <c r="E337" s="91">
        <v>44224.96875</v>
      </c>
      <c r="F337" s="91">
        <v>44224.970138888886</v>
      </c>
      <c r="G337" s="89" t="s">
        <v>614</v>
      </c>
      <c r="H337" s="89">
        <v>0</v>
      </c>
    </row>
    <row r="338" spans="1:8" x14ac:dyDescent="0.3">
      <c r="A338" s="92"/>
      <c r="B338" s="93" t="s">
        <v>945</v>
      </c>
      <c r="C338" s="92" t="s">
        <v>613</v>
      </c>
      <c r="D338" s="93" t="s">
        <v>633</v>
      </c>
      <c r="E338" s="94">
        <v>44224.972222222219</v>
      </c>
      <c r="F338" s="94">
        <v>44224.973611111112</v>
      </c>
      <c r="G338" s="92" t="s">
        <v>614</v>
      </c>
      <c r="H338" s="92">
        <v>0</v>
      </c>
    </row>
    <row r="339" spans="1:8" x14ac:dyDescent="0.3">
      <c r="A339" s="89"/>
      <c r="B339" s="90" t="s">
        <v>946</v>
      </c>
      <c r="C339" s="89" t="s">
        <v>613</v>
      </c>
      <c r="D339" s="90" t="s">
        <v>634</v>
      </c>
      <c r="E339" s="91">
        <v>44224.972222222219</v>
      </c>
      <c r="F339" s="91">
        <v>44224.973611111112</v>
      </c>
      <c r="G339" s="89" t="s">
        <v>614</v>
      </c>
      <c r="H339" s="89">
        <v>0</v>
      </c>
    </row>
    <row r="340" spans="1:8" x14ac:dyDescent="0.3">
      <c r="A340" s="92"/>
      <c r="B340" s="93" t="s">
        <v>947</v>
      </c>
      <c r="C340" s="92" t="s">
        <v>613</v>
      </c>
      <c r="D340" s="93" t="s">
        <v>617</v>
      </c>
      <c r="E340" s="94">
        <v>44224.947916666664</v>
      </c>
      <c r="F340" s="94">
        <v>44224.953472222223</v>
      </c>
      <c r="G340" s="92" t="s">
        <v>614</v>
      </c>
      <c r="H340" s="92">
        <v>0</v>
      </c>
    </row>
    <row r="341" spans="1:8" x14ac:dyDescent="0.3">
      <c r="A341" s="89"/>
      <c r="B341" s="90" t="s">
        <v>948</v>
      </c>
      <c r="C341" s="89" t="s">
        <v>613</v>
      </c>
      <c r="D341" s="90" t="s">
        <v>618</v>
      </c>
      <c r="E341" s="91">
        <v>44224.947916666664</v>
      </c>
      <c r="F341" s="91">
        <v>44224.95</v>
      </c>
      <c r="G341" s="89" t="s">
        <v>614</v>
      </c>
      <c r="H341" s="89">
        <v>0</v>
      </c>
    </row>
    <row r="342" spans="1:8" x14ac:dyDescent="0.3">
      <c r="A342" s="92"/>
      <c r="B342" s="93" t="s">
        <v>949</v>
      </c>
      <c r="C342" s="92" t="s">
        <v>613</v>
      </c>
      <c r="D342" s="93" t="s">
        <v>619</v>
      </c>
      <c r="E342" s="94">
        <v>44224.947916666664</v>
      </c>
      <c r="F342" s="94">
        <v>44224.95</v>
      </c>
      <c r="G342" s="92" t="s">
        <v>614</v>
      </c>
      <c r="H342" s="92">
        <v>0</v>
      </c>
    </row>
    <row r="343" spans="1:8" x14ac:dyDescent="0.3">
      <c r="A343" s="89"/>
      <c r="B343" s="90" t="s">
        <v>950</v>
      </c>
      <c r="C343" s="89" t="s">
        <v>613</v>
      </c>
      <c r="D343" s="90" t="s">
        <v>623</v>
      </c>
      <c r="E343" s="91">
        <v>44224.954861111109</v>
      </c>
      <c r="F343" s="91">
        <v>44224.958333333336</v>
      </c>
      <c r="G343" s="89" t="s">
        <v>614</v>
      </c>
      <c r="H343" s="89">
        <v>0</v>
      </c>
    </row>
    <row r="344" spans="1:8" x14ac:dyDescent="0.3">
      <c r="A344" s="92"/>
      <c r="B344" s="93" t="s">
        <v>951</v>
      </c>
      <c r="C344" s="92" t="s">
        <v>613</v>
      </c>
      <c r="D344" s="93" t="s">
        <v>635</v>
      </c>
      <c r="E344" s="94">
        <v>44224.972222222219</v>
      </c>
      <c r="F344" s="94">
        <v>44224.973611111112</v>
      </c>
      <c r="G344" s="92" t="s">
        <v>614</v>
      </c>
      <c r="H344" s="92">
        <v>0</v>
      </c>
    </row>
    <row r="345" spans="1:8" x14ac:dyDescent="0.3">
      <c r="A345" s="89"/>
      <c r="B345" s="90" t="s">
        <v>952</v>
      </c>
      <c r="C345" s="89" t="s">
        <v>613</v>
      </c>
      <c r="D345" s="90" t="s">
        <v>620</v>
      </c>
      <c r="E345" s="91">
        <v>44224.951388888891</v>
      </c>
      <c r="F345" s="91">
        <v>44224.953472222223</v>
      </c>
      <c r="G345" s="89" t="s">
        <v>614</v>
      </c>
      <c r="H345" s="89">
        <v>0</v>
      </c>
    </row>
    <row r="346" spans="1:8" x14ac:dyDescent="0.3">
      <c r="A346" s="92"/>
      <c r="B346" s="93" t="s">
        <v>953</v>
      </c>
      <c r="C346" s="92" t="s">
        <v>613</v>
      </c>
      <c r="D346" s="93" t="s">
        <v>621</v>
      </c>
      <c r="E346" s="94">
        <v>44224.951388888891</v>
      </c>
      <c r="F346" s="94">
        <v>44224.952777777777</v>
      </c>
      <c r="G346" s="92" t="s">
        <v>614</v>
      </c>
      <c r="H346" s="92">
        <v>0</v>
      </c>
    </row>
    <row r="347" spans="1:8" x14ac:dyDescent="0.3">
      <c r="A347" s="89"/>
      <c r="B347" s="90" t="s">
        <v>954</v>
      </c>
      <c r="C347" s="89" t="s">
        <v>613</v>
      </c>
      <c r="D347" s="90" t="s">
        <v>622</v>
      </c>
      <c r="E347" s="91">
        <v>44224.951388888891</v>
      </c>
      <c r="F347" s="91">
        <v>44224.953472222223</v>
      </c>
      <c r="G347" s="89" t="s">
        <v>614</v>
      </c>
      <c r="H347" s="89">
        <v>0</v>
      </c>
    </row>
    <row r="348" spans="1:8" x14ac:dyDescent="0.3">
      <c r="A348" s="92"/>
      <c r="B348" s="93" t="s">
        <v>955</v>
      </c>
      <c r="C348" s="92" t="s">
        <v>613</v>
      </c>
      <c r="D348" s="93" t="s">
        <v>636</v>
      </c>
      <c r="E348" s="94">
        <v>44224.975694444445</v>
      </c>
      <c r="F348" s="94">
        <v>44224.977083333331</v>
      </c>
      <c r="G348" s="92" t="s">
        <v>614</v>
      </c>
      <c r="H348" s="92">
        <v>0</v>
      </c>
    </row>
    <row r="349" spans="1:8" x14ac:dyDescent="0.3">
      <c r="A349" s="89"/>
      <c r="B349" s="90" t="s">
        <v>956</v>
      </c>
      <c r="C349" s="89" t="s">
        <v>613</v>
      </c>
      <c r="D349" s="90" t="s">
        <v>637</v>
      </c>
      <c r="E349" s="91">
        <v>44224.975694444445</v>
      </c>
      <c r="F349" s="91">
        <v>44224.977083333331</v>
      </c>
      <c r="G349" s="89" t="s">
        <v>614</v>
      </c>
      <c r="H349" s="89">
        <v>0</v>
      </c>
    </row>
    <row r="350" spans="1:8" x14ac:dyDescent="0.3">
      <c r="A350" s="92"/>
      <c r="B350" s="93" t="s">
        <v>957</v>
      </c>
      <c r="C350" s="92" t="s">
        <v>613</v>
      </c>
      <c r="D350" s="93" t="s">
        <v>638</v>
      </c>
      <c r="E350" s="94">
        <v>44224.975694444445</v>
      </c>
      <c r="F350" s="94">
        <v>44224.977083333331</v>
      </c>
      <c r="G350" s="92" t="s">
        <v>614</v>
      </c>
      <c r="H350" s="92">
        <v>0</v>
      </c>
    </row>
    <row r="351" spans="1:8" x14ac:dyDescent="0.3">
      <c r="A351" s="89"/>
      <c r="B351" s="90" t="s">
        <v>958</v>
      </c>
      <c r="C351" s="89" t="s">
        <v>613</v>
      </c>
      <c r="D351" s="90" t="s">
        <v>626</v>
      </c>
      <c r="E351" s="91">
        <v>44224.954861111109</v>
      </c>
      <c r="F351" s="91">
        <v>44224.957638888889</v>
      </c>
      <c r="G351" s="89" t="s">
        <v>614</v>
      </c>
      <c r="H351" s="89">
        <v>0</v>
      </c>
    </row>
    <row r="352" spans="1:8" x14ac:dyDescent="0.3">
      <c r="A352" s="92"/>
      <c r="B352" s="93" t="s">
        <v>959</v>
      </c>
      <c r="C352" s="92" t="s">
        <v>613</v>
      </c>
      <c r="D352" s="93" t="s">
        <v>627</v>
      </c>
      <c r="E352" s="94">
        <v>44224.965277777781</v>
      </c>
      <c r="F352" s="94">
        <v>44224.966666666667</v>
      </c>
      <c r="G352" s="92" t="s">
        <v>614</v>
      </c>
      <c r="H352" s="92">
        <v>0</v>
      </c>
    </row>
    <row r="353" spans="1:8" x14ac:dyDescent="0.3">
      <c r="A353" s="89"/>
      <c r="B353" s="90" t="s">
        <v>960</v>
      </c>
      <c r="C353" s="89" t="s">
        <v>613</v>
      </c>
      <c r="D353" s="90" t="s">
        <v>625</v>
      </c>
      <c r="E353" s="91">
        <v>44224.954861111109</v>
      </c>
      <c r="F353" s="91">
        <v>44224.958333333336</v>
      </c>
      <c r="G353" s="89" t="s">
        <v>614</v>
      </c>
      <c r="H353" s="89">
        <v>0</v>
      </c>
    </row>
    <row r="354" spans="1:8" x14ac:dyDescent="0.3">
      <c r="A354" s="92"/>
      <c r="B354" s="93" t="s">
        <v>961</v>
      </c>
      <c r="C354" s="92" t="s">
        <v>613</v>
      </c>
      <c r="D354" s="93" t="s">
        <v>629</v>
      </c>
      <c r="E354" s="94">
        <v>44224.965277777781</v>
      </c>
      <c r="F354" s="94">
        <v>44224.966666666667</v>
      </c>
      <c r="G354" s="92" t="s">
        <v>614</v>
      </c>
      <c r="H354" s="92">
        <v>0</v>
      </c>
    </row>
    <row r="355" spans="1:8" x14ac:dyDescent="0.3">
      <c r="A355" s="89"/>
      <c r="B355" s="90" t="s">
        <v>962</v>
      </c>
      <c r="C355" s="89" t="s">
        <v>613</v>
      </c>
      <c r="D355" s="90" t="s">
        <v>628</v>
      </c>
      <c r="E355" s="91">
        <v>44224.965277777781</v>
      </c>
      <c r="F355" s="91">
        <v>44224.966666666667</v>
      </c>
      <c r="G355" s="89" t="s">
        <v>614</v>
      </c>
      <c r="H355" s="89">
        <v>0</v>
      </c>
    </row>
    <row r="356" spans="1:8" x14ac:dyDescent="0.3">
      <c r="A356" s="92"/>
      <c r="B356" s="93" t="s">
        <v>963</v>
      </c>
      <c r="C356" s="92" t="s">
        <v>613</v>
      </c>
      <c r="D356" s="93" t="s">
        <v>630</v>
      </c>
      <c r="E356" s="94">
        <v>44224.96875</v>
      </c>
      <c r="F356" s="94">
        <v>44224.970138888886</v>
      </c>
      <c r="G356" s="92" t="s">
        <v>614</v>
      </c>
      <c r="H356" s="92">
        <v>0</v>
      </c>
    </row>
    <row r="357" spans="1:8" x14ac:dyDescent="0.3">
      <c r="A357" s="89"/>
      <c r="B357" s="90" t="s">
        <v>964</v>
      </c>
      <c r="C357" s="89" t="s">
        <v>613</v>
      </c>
      <c r="D357" s="90" t="s">
        <v>631</v>
      </c>
      <c r="E357" s="91">
        <v>44224.96875</v>
      </c>
      <c r="F357" s="91">
        <v>44224.970138888886</v>
      </c>
      <c r="G357" s="89" t="s">
        <v>614</v>
      </c>
      <c r="H357" s="89">
        <v>0</v>
      </c>
    </row>
    <row r="358" spans="1:8" x14ac:dyDescent="0.3">
      <c r="A358" s="92"/>
      <c r="B358" s="93" t="s">
        <v>965</v>
      </c>
      <c r="C358" s="92" t="s">
        <v>613</v>
      </c>
      <c r="D358" s="93" t="s">
        <v>624</v>
      </c>
      <c r="E358" s="94">
        <v>44224.954861111109</v>
      </c>
      <c r="F358" s="94">
        <v>44224.959027777775</v>
      </c>
      <c r="G358" s="92" t="s">
        <v>614</v>
      </c>
      <c r="H358" s="92">
        <v>0</v>
      </c>
    </row>
    <row r="359" spans="1:8" x14ac:dyDescent="0.3">
      <c r="A359" s="89"/>
      <c r="B359" s="90" t="s">
        <v>966</v>
      </c>
      <c r="C359" s="89" t="s">
        <v>613</v>
      </c>
      <c r="D359" s="90" t="s">
        <v>632</v>
      </c>
      <c r="E359" s="91">
        <v>44224.96875</v>
      </c>
      <c r="F359" s="91">
        <v>44224.970138888886</v>
      </c>
      <c r="G359" s="89" t="s">
        <v>614</v>
      </c>
      <c r="H359" s="89">
        <v>0</v>
      </c>
    </row>
    <row r="360" spans="1:8" x14ac:dyDescent="0.3">
      <c r="A360" s="92"/>
      <c r="B360" s="93" t="s">
        <v>967</v>
      </c>
      <c r="C360" s="92" t="s">
        <v>613</v>
      </c>
      <c r="D360" s="93" t="s">
        <v>633</v>
      </c>
      <c r="E360" s="94">
        <v>44224.972222222219</v>
      </c>
      <c r="F360" s="94">
        <v>44224.973611111112</v>
      </c>
      <c r="G360" s="92" t="s">
        <v>614</v>
      </c>
      <c r="H360" s="92">
        <v>0</v>
      </c>
    </row>
    <row r="361" spans="1:8" x14ac:dyDescent="0.3">
      <c r="A361" s="89"/>
      <c r="B361" s="90" t="s">
        <v>968</v>
      </c>
      <c r="C361" s="89" t="s">
        <v>613</v>
      </c>
      <c r="D361" s="90" t="s">
        <v>634</v>
      </c>
      <c r="E361" s="91">
        <v>44224.972222222219</v>
      </c>
      <c r="F361" s="91">
        <v>44224.972916666666</v>
      </c>
      <c r="G361" s="89" t="s">
        <v>614</v>
      </c>
      <c r="H361" s="89">
        <v>0</v>
      </c>
    </row>
    <row r="362" spans="1:8" x14ac:dyDescent="0.3">
      <c r="A362" s="92"/>
      <c r="B362" s="93" t="s">
        <v>969</v>
      </c>
      <c r="C362" s="92" t="s">
        <v>613</v>
      </c>
      <c r="D362" s="93" t="s">
        <v>617</v>
      </c>
      <c r="E362" s="94">
        <v>44224.947916666664</v>
      </c>
      <c r="F362" s="94">
        <v>44224.952777777777</v>
      </c>
      <c r="G362" s="92" t="s">
        <v>614</v>
      </c>
      <c r="H362" s="92">
        <v>0</v>
      </c>
    </row>
    <row r="363" spans="1:8" x14ac:dyDescent="0.3">
      <c r="A363" s="89"/>
      <c r="B363" s="90" t="s">
        <v>970</v>
      </c>
      <c r="C363" s="89" t="s">
        <v>613</v>
      </c>
      <c r="D363" s="90" t="s">
        <v>618</v>
      </c>
      <c r="E363" s="91">
        <v>44224.947916666664</v>
      </c>
      <c r="F363" s="91">
        <v>44224.950694444444</v>
      </c>
      <c r="G363" s="89" t="s">
        <v>614</v>
      </c>
      <c r="H363" s="89">
        <v>0</v>
      </c>
    </row>
    <row r="364" spans="1:8" x14ac:dyDescent="0.3">
      <c r="A364" s="92"/>
      <c r="B364" s="93" t="s">
        <v>971</v>
      </c>
      <c r="C364" s="92" t="s">
        <v>613</v>
      </c>
      <c r="D364" s="93" t="s">
        <v>619</v>
      </c>
      <c r="E364" s="94">
        <v>44224.947916666664</v>
      </c>
      <c r="F364" s="94">
        <v>44224.95</v>
      </c>
      <c r="G364" s="92" t="s">
        <v>614</v>
      </c>
      <c r="H364" s="92">
        <v>0</v>
      </c>
    </row>
    <row r="365" spans="1:8" x14ac:dyDescent="0.3">
      <c r="A365" s="89"/>
      <c r="B365" s="90" t="s">
        <v>972</v>
      </c>
      <c r="C365" s="89" t="s">
        <v>613</v>
      </c>
      <c r="D365" s="90" t="s">
        <v>623</v>
      </c>
      <c r="E365" s="91">
        <v>44224.954861111109</v>
      </c>
      <c r="F365" s="91">
        <v>44224.957638888889</v>
      </c>
      <c r="G365" s="89" t="s">
        <v>614</v>
      </c>
      <c r="H365" s="89">
        <v>0</v>
      </c>
    </row>
    <row r="366" spans="1:8" x14ac:dyDescent="0.3">
      <c r="A366" s="92"/>
      <c r="B366" s="93" t="s">
        <v>973</v>
      </c>
      <c r="C366" s="92" t="s">
        <v>613</v>
      </c>
      <c r="D366" s="93" t="s">
        <v>635</v>
      </c>
      <c r="E366" s="94">
        <v>44224.972222222219</v>
      </c>
      <c r="F366" s="94">
        <v>44224.973611111112</v>
      </c>
      <c r="G366" s="92" t="s">
        <v>614</v>
      </c>
      <c r="H366" s="92">
        <v>0</v>
      </c>
    </row>
    <row r="367" spans="1:8" x14ac:dyDescent="0.3">
      <c r="A367" s="89"/>
      <c r="B367" s="90" t="s">
        <v>974</v>
      </c>
      <c r="C367" s="89" t="s">
        <v>613</v>
      </c>
      <c r="D367" s="90" t="s">
        <v>620</v>
      </c>
      <c r="E367" s="91">
        <v>44224.951388888891</v>
      </c>
      <c r="F367" s="91">
        <v>44224.953472222223</v>
      </c>
      <c r="G367" s="89" t="s">
        <v>614</v>
      </c>
      <c r="H367" s="89">
        <v>0</v>
      </c>
    </row>
    <row r="368" spans="1:8" x14ac:dyDescent="0.3">
      <c r="A368" s="92"/>
      <c r="B368" s="93" t="s">
        <v>975</v>
      </c>
      <c r="C368" s="92" t="s">
        <v>613</v>
      </c>
      <c r="D368" s="93" t="s">
        <v>621</v>
      </c>
      <c r="E368" s="94">
        <v>44224.951388888891</v>
      </c>
      <c r="F368" s="94">
        <v>44224.953472222223</v>
      </c>
      <c r="G368" s="92" t="s">
        <v>614</v>
      </c>
      <c r="H368" s="92">
        <v>0</v>
      </c>
    </row>
    <row r="369" spans="1:8" x14ac:dyDescent="0.3">
      <c r="A369" s="89"/>
      <c r="B369" s="90" t="s">
        <v>976</v>
      </c>
      <c r="C369" s="89" t="s">
        <v>613</v>
      </c>
      <c r="D369" s="90" t="s">
        <v>622</v>
      </c>
      <c r="E369" s="91">
        <v>44224.951388888891</v>
      </c>
      <c r="F369" s="91">
        <v>44224.953472222223</v>
      </c>
      <c r="G369" s="89" t="s">
        <v>614</v>
      </c>
      <c r="H369" s="89">
        <v>0</v>
      </c>
    </row>
    <row r="370" spans="1:8" x14ac:dyDescent="0.3">
      <c r="A370" s="92"/>
      <c r="B370" s="93" t="s">
        <v>977</v>
      </c>
      <c r="C370" s="92" t="s">
        <v>613</v>
      </c>
      <c r="D370" s="93" t="s">
        <v>636</v>
      </c>
      <c r="E370" s="94">
        <v>44224.975694444445</v>
      </c>
      <c r="F370" s="94">
        <v>44224.977083333331</v>
      </c>
      <c r="G370" s="92" t="s">
        <v>614</v>
      </c>
      <c r="H370" s="92">
        <v>0</v>
      </c>
    </row>
    <row r="371" spans="1:8" x14ac:dyDescent="0.3">
      <c r="A371" s="89"/>
      <c r="B371" s="90" t="s">
        <v>978</v>
      </c>
      <c r="C371" s="89" t="s">
        <v>613</v>
      </c>
      <c r="D371" s="90" t="s">
        <v>637</v>
      </c>
      <c r="E371" s="91">
        <v>44224.975694444445</v>
      </c>
      <c r="F371" s="91">
        <v>44224.977083333331</v>
      </c>
      <c r="G371" s="89" t="s">
        <v>614</v>
      </c>
      <c r="H371" s="89">
        <v>0</v>
      </c>
    </row>
    <row r="372" spans="1:8" x14ac:dyDescent="0.3">
      <c r="A372" s="92"/>
      <c r="B372" s="93" t="s">
        <v>979</v>
      </c>
      <c r="C372" s="92" t="s">
        <v>613</v>
      </c>
      <c r="D372" s="93" t="s">
        <v>638</v>
      </c>
      <c r="E372" s="94">
        <v>44224.975694444445</v>
      </c>
      <c r="F372" s="94">
        <v>44224.977083333331</v>
      </c>
      <c r="G372" s="92" t="s">
        <v>614</v>
      </c>
      <c r="H372" s="92">
        <v>0</v>
      </c>
    </row>
    <row r="373" spans="1:8" x14ac:dyDescent="0.3">
      <c r="A373" s="89"/>
      <c r="B373" s="90" t="s">
        <v>980</v>
      </c>
      <c r="C373" s="89" t="s">
        <v>613</v>
      </c>
      <c r="D373" s="90" t="s">
        <v>626</v>
      </c>
      <c r="E373" s="91">
        <v>44224.954861111109</v>
      </c>
      <c r="F373" s="91">
        <v>44224.957638888889</v>
      </c>
      <c r="G373" s="89" t="s">
        <v>614</v>
      </c>
      <c r="H373" s="89">
        <v>0</v>
      </c>
    </row>
    <row r="374" spans="1:8" x14ac:dyDescent="0.3">
      <c r="A374" s="92"/>
      <c r="B374" s="93" t="s">
        <v>981</v>
      </c>
      <c r="C374" s="92" t="s">
        <v>613</v>
      </c>
      <c r="D374" s="93" t="s">
        <v>627</v>
      </c>
      <c r="E374" s="94">
        <v>44224.965277777781</v>
      </c>
      <c r="F374" s="94">
        <v>44224.966666666667</v>
      </c>
      <c r="G374" s="92" t="s">
        <v>614</v>
      </c>
      <c r="H374" s="92">
        <v>0</v>
      </c>
    </row>
    <row r="375" spans="1:8" x14ac:dyDescent="0.3">
      <c r="A375" s="89"/>
      <c r="B375" s="90" t="s">
        <v>982</v>
      </c>
      <c r="C375" s="89" t="s">
        <v>613</v>
      </c>
      <c r="D375" s="90" t="s">
        <v>625</v>
      </c>
      <c r="E375" s="91">
        <v>44224.954861111109</v>
      </c>
      <c r="F375" s="91">
        <v>44224.959027777775</v>
      </c>
      <c r="G375" s="89" t="s">
        <v>614</v>
      </c>
      <c r="H375" s="89">
        <v>0</v>
      </c>
    </row>
    <row r="376" spans="1:8" x14ac:dyDescent="0.3">
      <c r="A376" s="92"/>
      <c r="B376" s="93" t="s">
        <v>983</v>
      </c>
      <c r="C376" s="92" t="s">
        <v>613</v>
      </c>
      <c r="D376" s="93" t="s">
        <v>629</v>
      </c>
      <c r="E376" s="94">
        <v>44224.965277777781</v>
      </c>
      <c r="F376" s="94">
        <v>44224.96597222222</v>
      </c>
      <c r="G376" s="92" t="s">
        <v>614</v>
      </c>
      <c r="H376" s="92">
        <v>0</v>
      </c>
    </row>
    <row r="377" spans="1:8" x14ac:dyDescent="0.3">
      <c r="A377" s="89"/>
      <c r="B377" s="90" t="s">
        <v>984</v>
      </c>
      <c r="C377" s="89" t="s">
        <v>613</v>
      </c>
      <c r="D377" s="90" t="s">
        <v>628</v>
      </c>
      <c r="E377" s="91">
        <v>44224.965277777781</v>
      </c>
      <c r="F377" s="91">
        <v>44224.966666666667</v>
      </c>
      <c r="G377" s="89" t="s">
        <v>614</v>
      </c>
      <c r="H377" s="89">
        <v>0</v>
      </c>
    </row>
    <row r="378" spans="1:8" x14ac:dyDescent="0.3">
      <c r="A378" s="92"/>
      <c r="B378" s="93" t="s">
        <v>985</v>
      </c>
      <c r="C378" s="92" t="s">
        <v>613</v>
      </c>
      <c r="D378" s="93" t="s">
        <v>630</v>
      </c>
      <c r="E378" s="94">
        <v>44224.96875</v>
      </c>
      <c r="F378" s="94">
        <v>44224.970138888886</v>
      </c>
      <c r="G378" s="92" t="s">
        <v>614</v>
      </c>
      <c r="H378" s="92">
        <v>0</v>
      </c>
    </row>
    <row r="379" spans="1:8" x14ac:dyDescent="0.3">
      <c r="A379" s="89"/>
      <c r="B379" s="90" t="s">
        <v>986</v>
      </c>
      <c r="C379" s="89" t="s">
        <v>613</v>
      </c>
      <c r="D379" s="90" t="s">
        <v>631</v>
      </c>
      <c r="E379" s="91">
        <v>44224.96875</v>
      </c>
      <c r="F379" s="91">
        <v>44224.970138888886</v>
      </c>
      <c r="G379" s="89" t="s">
        <v>614</v>
      </c>
      <c r="H379" s="89">
        <v>0</v>
      </c>
    </row>
    <row r="380" spans="1:8" x14ac:dyDescent="0.3">
      <c r="A380" s="92"/>
      <c r="B380" s="93" t="s">
        <v>987</v>
      </c>
      <c r="C380" s="92" t="s">
        <v>613</v>
      </c>
      <c r="D380" s="93" t="s">
        <v>624</v>
      </c>
      <c r="E380" s="94">
        <v>44224.954861111109</v>
      </c>
      <c r="F380" s="94">
        <v>44224.959027777775</v>
      </c>
      <c r="G380" s="92" t="s">
        <v>614</v>
      </c>
      <c r="H380" s="92">
        <v>0</v>
      </c>
    </row>
    <row r="381" spans="1:8" x14ac:dyDescent="0.3">
      <c r="A381" s="89"/>
      <c r="B381" s="90" t="s">
        <v>988</v>
      </c>
      <c r="C381" s="89" t="s">
        <v>613</v>
      </c>
      <c r="D381" s="90" t="s">
        <v>632</v>
      </c>
      <c r="E381" s="91">
        <v>44224.96875</v>
      </c>
      <c r="F381" s="91">
        <v>44224.970138888886</v>
      </c>
      <c r="G381" s="89" t="s">
        <v>614</v>
      </c>
      <c r="H381" s="89">
        <v>0</v>
      </c>
    </row>
    <row r="382" spans="1:8" x14ac:dyDescent="0.3">
      <c r="A382" s="92"/>
      <c r="B382" s="93" t="s">
        <v>989</v>
      </c>
      <c r="C382" s="92" t="s">
        <v>613</v>
      </c>
      <c r="D382" s="93" t="s">
        <v>633</v>
      </c>
      <c r="E382" s="94">
        <v>44224.972222222219</v>
      </c>
      <c r="F382" s="94">
        <v>44224.973611111112</v>
      </c>
      <c r="G382" s="92" t="s">
        <v>614</v>
      </c>
      <c r="H382" s="92">
        <v>0</v>
      </c>
    </row>
    <row r="383" spans="1:8" x14ac:dyDescent="0.3">
      <c r="A383" s="89"/>
      <c r="B383" s="90" t="s">
        <v>990</v>
      </c>
      <c r="C383" s="89" t="s">
        <v>613</v>
      </c>
      <c r="D383" s="90" t="s">
        <v>634</v>
      </c>
      <c r="E383" s="91">
        <v>44224.972222222219</v>
      </c>
      <c r="F383" s="91">
        <v>44224.973611111112</v>
      </c>
      <c r="G383" s="89" t="s">
        <v>614</v>
      </c>
      <c r="H383" s="89">
        <v>0</v>
      </c>
    </row>
    <row r="384" spans="1:8" x14ac:dyDescent="0.3">
      <c r="A384" s="92"/>
      <c r="B384" s="93" t="s">
        <v>991</v>
      </c>
      <c r="C384" s="92" t="s">
        <v>613</v>
      </c>
      <c r="D384" s="93" t="s">
        <v>627</v>
      </c>
      <c r="E384" s="94">
        <v>44224.965277777781</v>
      </c>
      <c r="F384" s="94">
        <v>44224.966666666667</v>
      </c>
      <c r="G384" s="92" t="s">
        <v>614</v>
      </c>
      <c r="H384" s="92">
        <v>0</v>
      </c>
    </row>
    <row r="385" spans="1:8" x14ac:dyDescent="0.3">
      <c r="A385" s="89"/>
      <c r="B385" s="90" t="s">
        <v>992</v>
      </c>
      <c r="C385" s="89" t="s">
        <v>613</v>
      </c>
      <c r="D385" s="90" t="s">
        <v>626</v>
      </c>
      <c r="E385" s="91">
        <v>44224.954861111109</v>
      </c>
      <c r="F385" s="91">
        <v>44224.957638888889</v>
      </c>
      <c r="G385" s="89" t="s">
        <v>614</v>
      </c>
      <c r="H385" s="89">
        <v>0</v>
      </c>
    </row>
    <row r="386" spans="1:8" x14ac:dyDescent="0.3">
      <c r="A386" s="92"/>
      <c r="B386" s="93" t="s">
        <v>993</v>
      </c>
      <c r="C386" s="92" t="s">
        <v>613</v>
      </c>
      <c r="D386" s="93" t="s">
        <v>630</v>
      </c>
      <c r="E386" s="94">
        <v>44224.96875</v>
      </c>
      <c r="F386" s="94">
        <v>44224.970138888886</v>
      </c>
      <c r="G386" s="92" t="s">
        <v>614</v>
      </c>
      <c r="H386" s="92">
        <v>0</v>
      </c>
    </row>
    <row r="387" spans="1:8" x14ac:dyDescent="0.3">
      <c r="A387" s="89"/>
      <c r="B387" s="90" t="s">
        <v>994</v>
      </c>
      <c r="C387" s="89" t="s">
        <v>613</v>
      </c>
      <c r="D387" s="90" t="s">
        <v>631</v>
      </c>
      <c r="E387" s="91">
        <v>44224.96875</v>
      </c>
      <c r="F387" s="91">
        <v>44224.970138888886</v>
      </c>
      <c r="G387" s="89" t="s">
        <v>614</v>
      </c>
      <c r="H387" s="89">
        <v>0</v>
      </c>
    </row>
    <row r="388" spans="1:8" x14ac:dyDescent="0.3">
      <c r="A388" s="92"/>
      <c r="B388" s="93" t="s">
        <v>995</v>
      </c>
      <c r="C388" s="92" t="s">
        <v>613</v>
      </c>
      <c r="D388" s="93" t="s">
        <v>624</v>
      </c>
      <c r="E388" s="94">
        <v>44224.954861111109</v>
      </c>
      <c r="F388" s="94">
        <v>44224.956944444442</v>
      </c>
      <c r="G388" s="92" t="s">
        <v>614</v>
      </c>
      <c r="H388" s="92">
        <v>0</v>
      </c>
    </row>
    <row r="389" spans="1:8" x14ac:dyDescent="0.3">
      <c r="A389" s="89"/>
      <c r="B389" s="90" t="s">
        <v>996</v>
      </c>
      <c r="C389" s="89" t="s">
        <v>613</v>
      </c>
      <c r="D389" s="90" t="s">
        <v>632</v>
      </c>
      <c r="E389" s="91">
        <v>44224.96875</v>
      </c>
      <c r="F389" s="91">
        <v>44224.970138888886</v>
      </c>
      <c r="G389" s="89" t="s">
        <v>614</v>
      </c>
      <c r="H389" s="89">
        <v>0</v>
      </c>
    </row>
    <row r="390" spans="1:8" x14ac:dyDescent="0.3">
      <c r="A390" s="92"/>
      <c r="B390" s="93" t="s">
        <v>997</v>
      </c>
      <c r="C390" s="92" t="s">
        <v>613</v>
      </c>
      <c r="D390" s="93" t="s">
        <v>625</v>
      </c>
      <c r="E390" s="94">
        <v>44224.954861111109</v>
      </c>
      <c r="F390" s="94">
        <v>44224.959027777775</v>
      </c>
      <c r="G390" s="92" t="s">
        <v>614</v>
      </c>
      <c r="H390" s="92">
        <v>0</v>
      </c>
    </row>
    <row r="391" spans="1:8" x14ac:dyDescent="0.3">
      <c r="A391" s="89"/>
      <c r="B391" s="90" t="s">
        <v>998</v>
      </c>
      <c r="C391" s="89" t="s">
        <v>613</v>
      </c>
      <c r="D391" s="90" t="s">
        <v>629</v>
      </c>
      <c r="E391" s="91">
        <v>44224.965277777781</v>
      </c>
      <c r="F391" s="91">
        <v>44224.96597222222</v>
      </c>
      <c r="G391" s="89" t="s">
        <v>614</v>
      </c>
      <c r="H391" s="89">
        <v>0</v>
      </c>
    </row>
    <row r="392" spans="1:8" x14ac:dyDescent="0.3">
      <c r="A392" s="92"/>
      <c r="B392" s="93" t="s">
        <v>999</v>
      </c>
      <c r="C392" s="92" t="s">
        <v>613</v>
      </c>
      <c r="D392" s="93" t="s">
        <v>628</v>
      </c>
      <c r="E392" s="94">
        <v>44224.965277777781</v>
      </c>
      <c r="F392" s="94">
        <v>44224.966666666667</v>
      </c>
      <c r="G392" s="92" t="s">
        <v>614</v>
      </c>
      <c r="H392" s="92">
        <v>0</v>
      </c>
    </row>
    <row r="393" spans="1:8" x14ac:dyDescent="0.3">
      <c r="A393" s="89"/>
      <c r="B393" s="90" t="s">
        <v>1000</v>
      </c>
      <c r="C393" s="89" t="s">
        <v>613</v>
      </c>
      <c r="D393" s="90" t="s">
        <v>623</v>
      </c>
      <c r="E393" s="91">
        <v>44224.954861111109</v>
      </c>
      <c r="F393" s="91">
        <v>44224.959027777775</v>
      </c>
      <c r="G393" s="89" t="s">
        <v>614</v>
      </c>
      <c r="H393" s="89">
        <v>0</v>
      </c>
    </row>
    <row r="394" spans="1:8" x14ac:dyDescent="0.3">
      <c r="A394" s="92"/>
      <c r="B394" s="93" t="s">
        <v>1001</v>
      </c>
      <c r="C394" s="92" t="s">
        <v>613</v>
      </c>
      <c r="D394" s="93" t="s">
        <v>633</v>
      </c>
      <c r="E394" s="94">
        <v>44224.972222222219</v>
      </c>
      <c r="F394" s="94">
        <v>44224.973611111112</v>
      </c>
      <c r="G394" s="92" t="s">
        <v>614</v>
      </c>
      <c r="H394" s="92">
        <v>0</v>
      </c>
    </row>
    <row r="395" spans="1:8" x14ac:dyDescent="0.3">
      <c r="A395" s="89"/>
      <c r="B395" s="90" t="s">
        <v>1002</v>
      </c>
      <c r="C395" s="89" t="s">
        <v>613</v>
      </c>
      <c r="D395" s="90" t="s">
        <v>634</v>
      </c>
      <c r="E395" s="91">
        <v>44224.972222222219</v>
      </c>
      <c r="F395" s="91">
        <v>44224.973611111112</v>
      </c>
      <c r="G395" s="89" t="s">
        <v>614</v>
      </c>
      <c r="H395" s="89">
        <v>0</v>
      </c>
    </row>
    <row r="396" spans="1:8" x14ac:dyDescent="0.3">
      <c r="A396" s="92"/>
      <c r="B396" s="93" t="s">
        <v>1003</v>
      </c>
      <c r="C396" s="92" t="s">
        <v>613</v>
      </c>
      <c r="D396" s="93" t="s">
        <v>617</v>
      </c>
      <c r="E396" s="94">
        <v>44224.947916666664</v>
      </c>
      <c r="F396" s="94">
        <v>44224.956944444442</v>
      </c>
      <c r="G396" s="92" t="s">
        <v>614</v>
      </c>
      <c r="H396" s="92">
        <v>0</v>
      </c>
    </row>
    <row r="397" spans="1:8" x14ac:dyDescent="0.3">
      <c r="A397" s="89"/>
      <c r="B397" s="90" t="s">
        <v>1004</v>
      </c>
      <c r="C397" s="89" t="s">
        <v>613</v>
      </c>
      <c r="D397" s="90" t="s">
        <v>636</v>
      </c>
      <c r="E397" s="91">
        <v>44224.975694444445</v>
      </c>
      <c r="F397" s="91">
        <v>44224.977083333331</v>
      </c>
      <c r="G397" s="89" t="s">
        <v>614</v>
      </c>
      <c r="H397" s="89">
        <v>0</v>
      </c>
    </row>
    <row r="398" spans="1:8" x14ac:dyDescent="0.3">
      <c r="A398" s="92"/>
      <c r="B398" s="93" t="s">
        <v>1005</v>
      </c>
      <c r="C398" s="92" t="s">
        <v>613</v>
      </c>
      <c r="D398" s="93" t="s">
        <v>620</v>
      </c>
      <c r="E398" s="94">
        <v>44224.951388888891</v>
      </c>
      <c r="F398" s="94">
        <v>44224.95416666667</v>
      </c>
      <c r="G398" s="92" t="s">
        <v>614</v>
      </c>
      <c r="H398" s="92">
        <v>0</v>
      </c>
    </row>
    <row r="399" spans="1:8" x14ac:dyDescent="0.3">
      <c r="A399" s="89"/>
      <c r="B399" s="90" t="s">
        <v>1006</v>
      </c>
      <c r="C399" s="89" t="s">
        <v>613</v>
      </c>
      <c r="D399" s="90" t="s">
        <v>618</v>
      </c>
      <c r="E399" s="91">
        <v>44224.947916666664</v>
      </c>
      <c r="F399" s="91">
        <v>44224.95</v>
      </c>
      <c r="G399" s="89" t="s">
        <v>614</v>
      </c>
      <c r="H399" s="89">
        <v>0</v>
      </c>
    </row>
    <row r="400" spans="1:8" x14ac:dyDescent="0.3">
      <c r="A400" s="92"/>
      <c r="B400" s="93" t="s">
        <v>1007</v>
      </c>
      <c r="C400" s="92" t="s">
        <v>613</v>
      </c>
      <c r="D400" s="93" t="s">
        <v>635</v>
      </c>
      <c r="E400" s="94">
        <v>44224.972222222219</v>
      </c>
      <c r="F400" s="94">
        <v>44224.973611111112</v>
      </c>
      <c r="G400" s="92" t="s">
        <v>614</v>
      </c>
      <c r="H400" s="92">
        <v>0</v>
      </c>
    </row>
    <row r="401" spans="1:8" x14ac:dyDescent="0.3">
      <c r="A401" s="89"/>
      <c r="B401" s="90" t="s">
        <v>1008</v>
      </c>
      <c r="C401" s="89" t="s">
        <v>613</v>
      </c>
      <c r="D401" s="90" t="s">
        <v>637</v>
      </c>
      <c r="E401" s="91">
        <v>44224.975694444445</v>
      </c>
      <c r="F401" s="91">
        <v>44224.977083333331</v>
      </c>
      <c r="G401" s="89" t="s">
        <v>614</v>
      </c>
      <c r="H401" s="89">
        <v>0</v>
      </c>
    </row>
    <row r="402" spans="1:8" x14ac:dyDescent="0.3">
      <c r="A402" s="92"/>
      <c r="B402" s="93" t="s">
        <v>1009</v>
      </c>
      <c r="C402" s="92" t="s">
        <v>613</v>
      </c>
      <c r="D402" s="93" t="s">
        <v>621</v>
      </c>
      <c r="E402" s="94">
        <v>44224.951388888891</v>
      </c>
      <c r="F402" s="94">
        <v>44224.95416666667</v>
      </c>
      <c r="G402" s="92" t="s">
        <v>614</v>
      </c>
      <c r="H402" s="92">
        <v>0</v>
      </c>
    </row>
    <row r="403" spans="1:8" x14ac:dyDescent="0.3">
      <c r="A403" s="89"/>
      <c r="B403" s="90" t="s">
        <v>1010</v>
      </c>
      <c r="C403" s="89" t="s">
        <v>613</v>
      </c>
      <c r="D403" s="90" t="s">
        <v>619</v>
      </c>
      <c r="E403" s="91">
        <v>44224.947916666664</v>
      </c>
      <c r="F403" s="91">
        <v>44224.95</v>
      </c>
      <c r="G403" s="89" t="s">
        <v>614</v>
      </c>
      <c r="H403" s="89">
        <v>0</v>
      </c>
    </row>
    <row r="404" spans="1:8" x14ac:dyDescent="0.3">
      <c r="A404" s="92"/>
      <c r="B404" s="93" t="s">
        <v>1011</v>
      </c>
      <c r="C404" s="92" t="s">
        <v>613</v>
      </c>
      <c r="D404" s="93" t="s">
        <v>638</v>
      </c>
      <c r="E404" s="94">
        <v>44224.975694444445</v>
      </c>
      <c r="F404" s="94">
        <v>44224.977083333331</v>
      </c>
      <c r="G404" s="92" t="s">
        <v>614</v>
      </c>
      <c r="H404" s="92">
        <v>0</v>
      </c>
    </row>
    <row r="405" spans="1:8" x14ac:dyDescent="0.3">
      <c r="A405" s="89"/>
      <c r="B405" s="90" t="s">
        <v>1012</v>
      </c>
      <c r="C405" s="89" t="s">
        <v>613</v>
      </c>
      <c r="D405" s="90" t="s">
        <v>622</v>
      </c>
      <c r="E405" s="91">
        <v>44224.951388888891</v>
      </c>
      <c r="F405" s="91">
        <v>44224.953472222223</v>
      </c>
      <c r="G405" s="89" t="s">
        <v>614</v>
      </c>
      <c r="H405" s="89">
        <v>0</v>
      </c>
    </row>
    <row r="406" spans="1:8" x14ac:dyDescent="0.3">
      <c r="A406" s="92"/>
      <c r="B406" s="93" t="s">
        <v>1013</v>
      </c>
      <c r="C406" s="92" t="s">
        <v>613</v>
      </c>
      <c r="D406" s="93" t="s">
        <v>627</v>
      </c>
      <c r="E406" s="94">
        <v>44224.965277777781</v>
      </c>
      <c r="F406" s="94">
        <v>44224.966666666667</v>
      </c>
      <c r="G406" s="92" t="s">
        <v>614</v>
      </c>
      <c r="H406" s="92">
        <v>0</v>
      </c>
    </row>
    <row r="407" spans="1:8" x14ac:dyDescent="0.3">
      <c r="A407" s="89"/>
      <c r="B407" s="90" t="s">
        <v>1014</v>
      </c>
      <c r="C407" s="89" t="s">
        <v>613</v>
      </c>
      <c r="D407" s="90" t="s">
        <v>626</v>
      </c>
      <c r="E407" s="91">
        <v>44224.954861111109</v>
      </c>
      <c r="F407" s="91">
        <v>44224.958333333336</v>
      </c>
      <c r="G407" s="89" t="s">
        <v>614</v>
      </c>
      <c r="H407" s="89">
        <v>0</v>
      </c>
    </row>
    <row r="408" spans="1:8" x14ac:dyDescent="0.3">
      <c r="A408" s="92"/>
      <c r="B408" s="93" t="s">
        <v>1015</v>
      </c>
      <c r="C408" s="92" t="s">
        <v>613</v>
      </c>
      <c r="D408" s="93" t="s">
        <v>630</v>
      </c>
      <c r="E408" s="94">
        <v>44224.96875</v>
      </c>
      <c r="F408" s="94">
        <v>44224.970138888886</v>
      </c>
      <c r="G408" s="92" t="s">
        <v>614</v>
      </c>
      <c r="H408" s="92">
        <v>0</v>
      </c>
    </row>
    <row r="409" spans="1:8" x14ac:dyDescent="0.3">
      <c r="A409" s="89"/>
      <c r="B409" s="90" t="s">
        <v>1016</v>
      </c>
      <c r="C409" s="89" t="s">
        <v>613</v>
      </c>
      <c r="D409" s="90" t="s">
        <v>631</v>
      </c>
      <c r="E409" s="91">
        <v>44224.96875</v>
      </c>
      <c r="F409" s="91">
        <v>44224.970138888886</v>
      </c>
      <c r="G409" s="89" t="s">
        <v>614</v>
      </c>
      <c r="H409" s="89">
        <v>0</v>
      </c>
    </row>
    <row r="410" spans="1:8" x14ac:dyDescent="0.3">
      <c r="A410" s="92"/>
      <c r="B410" s="93" t="s">
        <v>1017</v>
      </c>
      <c r="C410" s="92" t="s">
        <v>613</v>
      </c>
      <c r="D410" s="93" t="s">
        <v>624</v>
      </c>
      <c r="E410" s="94">
        <v>44224.954861111109</v>
      </c>
      <c r="F410" s="94">
        <v>44224.957638888889</v>
      </c>
      <c r="G410" s="92" t="s">
        <v>614</v>
      </c>
      <c r="H410" s="92">
        <v>0</v>
      </c>
    </row>
    <row r="411" spans="1:8" x14ac:dyDescent="0.3">
      <c r="A411" s="89"/>
      <c r="B411" s="90" t="s">
        <v>1018</v>
      </c>
      <c r="C411" s="89" t="s">
        <v>613</v>
      </c>
      <c r="D411" s="90" t="s">
        <v>632</v>
      </c>
      <c r="E411" s="91">
        <v>44224.96875</v>
      </c>
      <c r="F411" s="91">
        <v>44224.970138888886</v>
      </c>
      <c r="G411" s="89" t="s">
        <v>614</v>
      </c>
      <c r="H411" s="89">
        <v>0</v>
      </c>
    </row>
    <row r="412" spans="1:8" x14ac:dyDescent="0.3">
      <c r="A412" s="92"/>
      <c r="B412" s="93" t="s">
        <v>1019</v>
      </c>
      <c r="C412" s="92" t="s">
        <v>613</v>
      </c>
      <c r="D412" s="93" t="s">
        <v>625</v>
      </c>
      <c r="E412" s="94">
        <v>44224.954861111109</v>
      </c>
      <c r="F412" s="94">
        <v>44224.959027777775</v>
      </c>
      <c r="G412" s="92" t="s">
        <v>614</v>
      </c>
      <c r="H412" s="92">
        <v>0</v>
      </c>
    </row>
    <row r="413" spans="1:8" x14ac:dyDescent="0.3">
      <c r="A413" s="89"/>
      <c r="B413" s="90" t="s">
        <v>1020</v>
      </c>
      <c r="C413" s="89" t="s">
        <v>613</v>
      </c>
      <c r="D413" s="90" t="s">
        <v>629</v>
      </c>
      <c r="E413" s="91">
        <v>44224.965277777781</v>
      </c>
      <c r="F413" s="91">
        <v>44224.966666666667</v>
      </c>
      <c r="G413" s="89" t="s">
        <v>614</v>
      </c>
      <c r="H413" s="89">
        <v>0</v>
      </c>
    </row>
    <row r="414" spans="1:8" x14ac:dyDescent="0.3">
      <c r="A414" s="92"/>
      <c r="B414" s="93" t="s">
        <v>1021</v>
      </c>
      <c r="C414" s="92" t="s">
        <v>613</v>
      </c>
      <c r="D414" s="93" t="s">
        <v>628</v>
      </c>
      <c r="E414" s="94">
        <v>44224.965277777781</v>
      </c>
      <c r="F414" s="94">
        <v>44224.966666666667</v>
      </c>
      <c r="G414" s="92" t="s">
        <v>614</v>
      </c>
      <c r="H414" s="92">
        <v>0</v>
      </c>
    </row>
    <row r="415" spans="1:8" x14ac:dyDescent="0.3">
      <c r="A415" s="89"/>
      <c r="B415" s="90" t="s">
        <v>1022</v>
      </c>
      <c r="C415" s="89" t="s">
        <v>613</v>
      </c>
      <c r="D415" s="90" t="s">
        <v>623</v>
      </c>
      <c r="E415" s="91">
        <v>44224.954861111109</v>
      </c>
      <c r="F415" s="91">
        <v>44224.959027777775</v>
      </c>
      <c r="G415" s="89" t="s">
        <v>614</v>
      </c>
      <c r="H415" s="89">
        <v>0</v>
      </c>
    </row>
    <row r="416" spans="1:8" x14ac:dyDescent="0.3">
      <c r="A416" s="92"/>
      <c r="B416" s="93" t="s">
        <v>1023</v>
      </c>
      <c r="C416" s="92" t="s">
        <v>613</v>
      </c>
      <c r="D416" s="93" t="s">
        <v>633</v>
      </c>
      <c r="E416" s="94">
        <v>44224.972222222219</v>
      </c>
      <c r="F416" s="94">
        <v>44224.972916666666</v>
      </c>
      <c r="G416" s="92" t="s">
        <v>614</v>
      </c>
      <c r="H416" s="92">
        <v>0</v>
      </c>
    </row>
    <row r="417" spans="1:8" x14ac:dyDescent="0.3">
      <c r="A417" s="89"/>
      <c r="B417" s="90" t="s">
        <v>1024</v>
      </c>
      <c r="C417" s="89" t="s">
        <v>613</v>
      </c>
      <c r="D417" s="90" t="s">
        <v>634</v>
      </c>
      <c r="E417" s="91">
        <v>44224.972222222219</v>
      </c>
      <c r="F417" s="91">
        <v>44224.972916666666</v>
      </c>
      <c r="G417" s="89" t="s">
        <v>614</v>
      </c>
      <c r="H417" s="89">
        <v>0</v>
      </c>
    </row>
    <row r="418" spans="1:8" x14ac:dyDescent="0.3">
      <c r="A418" s="92"/>
      <c r="B418" s="93" t="s">
        <v>1025</v>
      </c>
      <c r="C418" s="92" t="s">
        <v>613</v>
      </c>
      <c r="D418" s="93" t="s">
        <v>617</v>
      </c>
      <c r="E418" s="94">
        <v>44224.947916666664</v>
      </c>
      <c r="F418" s="94">
        <v>44224.959027777775</v>
      </c>
      <c r="G418" s="92" t="s">
        <v>614</v>
      </c>
      <c r="H418" s="92">
        <v>0</v>
      </c>
    </row>
    <row r="419" spans="1:8" x14ac:dyDescent="0.3">
      <c r="A419" s="89"/>
      <c r="B419" s="90" t="s">
        <v>1026</v>
      </c>
      <c r="C419" s="89" t="s">
        <v>613</v>
      </c>
      <c r="D419" s="90" t="s">
        <v>636</v>
      </c>
      <c r="E419" s="91">
        <v>44224.975694444445</v>
      </c>
      <c r="F419" s="91">
        <v>44224.977083333331</v>
      </c>
      <c r="G419" s="89" t="s">
        <v>614</v>
      </c>
      <c r="H419" s="89">
        <v>0</v>
      </c>
    </row>
    <row r="420" spans="1:8" x14ac:dyDescent="0.3">
      <c r="A420" s="92"/>
      <c r="B420" s="93" t="s">
        <v>1027</v>
      </c>
      <c r="C420" s="92" t="s">
        <v>613</v>
      </c>
      <c r="D420" s="93" t="s">
        <v>620</v>
      </c>
      <c r="E420" s="94">
        <v>44224.951388888891</v>
      </c>
      <c r="F420" s="94">
        <v>44224.95416666667</v>
      </c>
      <c r="G420" s="92" t="s">
        <v>614</v>
      </c>
      <c r="H420" s="92">
        <v>0</v>
      </c>
    </row>
    <row r="421" spans="1:8" x14ac:dyDescent="0.3">
      <c r="A421" s="89"/>
      <c r="B421" s="90" t="s">
        <v>1028</v>
      </c>
      <c r="C421" s="89" t="s">
        <v>613</v>
      </c>
      <c r="D421" s="90" t="s">
        <v>618</v>
      </c>
      <c r="E421" s="91">
        <v>44224.947916666664</v>
      </c>
      <c r="F421" s="91">
        <v>44224.951388888891</v>
      </c>
      <c r="G421" s="89" t="s">
        <v>614</v>
      </c>
      <c r="H421" s="89">
        <v>0</v>
      </c>
    </row>
    <row r="422" spans="1:8" x14ac:dyDescent="0.3">
      <c r="A422" s="92"/>
      <c r="B422" s="93" t="s">
        <v>1029</v>
      </c>
      <c r="C422" s="92" t="s">
        <v>613</v>
      </c>
      <c r="D422" s="93" t="s">
        <v>635</v>
      </c>
      <c r="E422" s="94">
        <v>44224.972222222219</v>
      </c>
      <c r="F422" s="94">
        <v>44224.973611111112</v>
      </c>
      <c r="G422" s="92" t="s">
        <v>614</v>
      </c>
      <c r="H422" s="92">
        <v>0</v>
      </c>
    </row>
    <row r="423" spans="1:8" x14ac:dyDescent="0.3">
      <c r="A423" s="89"/>
      <c r="B423" s="90" t="s">
        <v>1030</v>
      </c>
      <c r="C423" s="89" t="s">
        <v>613</v>
      </c>
      <c r="D423" s="90" t="s">
        <v>637</v>
      </c>
      <c r="E423" s="91">
        <v>44224.975694444445</v>
      </c>
      <c r="F423" s="91">
        <v>44224.977083333331</v>
      </c>
      <c r="G423" s="89" t="s">
        <v>614</v>
      </c>
      <c r="H423" s="89">
        <v>0</v>
      </c>
    </row>
    <row r="424" spans="1:8" x14ac:dyDescent="0.3">
      <c r="A424" s="92"/>
      <c r="B424" s="93" t="s">
        <v>1031</v>
      </c>
      <c r="C424" s="92" t="s">
        <v>613</v>
      </c>
      <c r="D424" s="93" t="s">
        <v>621</v>
      </c>
      <c r="E424" s="94">
        <v>44224.951388888891</v>
      </c>
      <c r="F424" s="94">
        <v>44224.95416666667</v>
      </c>
      <c r="G424" s="92" t="s">
        <v>614</v>
      </c>
      <c r="H424" s="92">
        <v>0</v>
      </c>
    </row>
    <row r="425" spans="1:8" x14ac:dyDescent="0.3">
      <c r="A425" s="89"/>
      <c r="B425" s="90" t="s">
        <v>1032</v>
      </c>
      <c r="C425" s="89" t="s">
        <v>613</v>
      </c>
      <c r="D425" s="90" t="s">
        <v>619</v>
      </c>
      <c r="E425" s="91">
        <v>44224.947916666664</v>
      </c>
      <c r="F425" s="91">
        <v>44224.950694444444</v>
      </c>
      <c r="G425" s="89" t="s">
        <v>614</v>
      </c>
      <c r="H425" s="89">
        <v>0</v>
      </c>
    </row>
    <row r="426" spans="1:8" x14ac:dyDescent="0.3">
      <c r="A426" s="92"/>
      <c r="B426" s="93" t="s">
        <v>1033</v>
      </c>
      <c r="C426" s="92" t="s">
        <v>613</v>
      </c>
      <c r="D426" s="93" t="s">
        <v>638</v>
      </c>
      <c r="E426" s="94">
        <v>44224.975694444445</v>
      </c>
      <c r="F426" s="94">
        <v>44224.977083333331</v>
      </c>
      <c r="G426" s="92" t="s">
        <v>614</v>
      </c>
      <c r="H426" s="92">
        <v>0</v>
      </c>
    </row>
    <row r="427" spans="1:8" x14ac:dyDescent="0.3">
      <c r="A427" s="89"/>
      <c r="B427" s="90" t="s">
        <v>1034</v>
      </c>
      <c r="C427" s="89" t="s">
        <v>613</v>
      </c>
      <c r="D427" s="90" t="s">
        <v>622</v>
      </c>
      <c r="E427" s="91">
        <v>44224.951388888891</v>
      </c>
      <c r="F427" s="91">
        <v>44224.953472222223</v>
      </c>
      <c r="G427" s="89" t="s">
        <v>614</v>
      </c>
      <c r="H427" s="89">
        <v>0</v>
      </c>
    </row>
    <row r="428" spans="1:8" x14ac:dyDescent="0.3">
      <c r="A428" s="92"/>
      <c r="B428" s="93" t="s">
        <v>1035</v>
      </c>
      <c r="C428" s="92" t="s">
        <v>613</v>
      </c>
      <c r="D428" s="93" t="s">
        <v>627</v>
      </c>
      <c r="E428" s="94">
        <v>44224.965277777781</v>
      </c>
      <c r="F428" s="94">
        <v>44224.966666666667</v>
      </c>
      <c r="G428" s="92" t="s">
        <v>614</v>
      </c>
      <c r="H428" s="92">
        <v>0</v>
      </c>
    </row>
    <row r="429" spans="1:8" x14ac:dyDescent="0.3">
      <c r="A429" s="89"/>
      <c r="B429" s="90" t="s">
        <v>1036</v>
      </c>
      <c r="C429" s="89" t="s">
        <v>613</v>
      </c>
      <c r="D429" s="90" t="s">
        <v>626</v>
      </c>
      <c r="E429" s="91">
        <v>44224.954861111109</v>
      </c>
      <c r="F429" s="91">
        <v>44224.957638888889</v>
      </c>
      <c r="G429" s="89" t="s">
        <v>614</v>
      </c>
      <c r="H429" s="89">
        <v>0</v>
      </c>
    </row>
    <row r="430" spans="1:8" x14ac:dyDescent="0.3">
      <c r="A430" s="92"/>
      <c r="B430" s="93" t="s">
        <v>1037</v>
      </c>
      <c r="C430" s="92" t="s">
        <v>613</v>
      </c>
      <c r="D430" s="93" t="s">
        <v>630</v>
      </c>
      <c r="E430" s="94">
        <v>44224.96875</v>
      </c>
      <c r="F430" s="94">
        <v>44224.970138888886</v>
      </c>
      <c r="G430" s="92" t="s">
        <v>614</v>
      </c>
      <c r="H430" s="92">
        <v>0</v>
      </c>
    </row>
    <row r="431" spans="1:8" x14ac:dyDescent="0.3">
      <c r="A431" s="89"/>
      <c r="B431" s="90" t="s">
        <v>1038</v>
      </c>
      <c r="C431" s="89" t="s">
        <v>613</v>
      </c>
      <c r="D431" s="90" t="s">
        <v>631</v>
      </c>
      <c r="E431" s="91">
        <v>44224.96875</v>
      </c>
      <c r="F431" s="91">
        <v>44224.970138888886</v>
      </c>
      <c r="G431" s="89" t="s">
        <v>614</v>
      </c>
      <c r="H431" s="89">
        <v>0</v>
      </c>
    </row>
    <row r="432" spans="1:8" x14ac:dyDescent="0.3">
      <c r="A432" s="92"/>
      <c r="B432" s="93" t="s">
        <v>1039</v>
      </c>
      <c r="C432" s="92" t="s">
        <v>613</v>
      </c>
      <c r="D432" s="93" t="s">
        <v>624</v>
      </c>
      <c r="E432" s="94">
        <v>44224.954861111109</v>
      </c>
      <c r="F432" s="94">
        <v>44224.959027777775</v>
      </c>
      <c r="G432" s="92" t="s">
        <v>614</v>
      </c>
      <c r="H432" s="92">
        <v>0</v>
      </c>
    </row>
    <row r="433" spans="1:8" x14ac:dyDescent="0.3">
      <c r="A433" s="89"/>
      <c r="B433" s="90" t="s">
        <v>1040</v>
      </c>
      <c r="C433" s="89" t="s">
        <v>613</v>
      </c>
      <c r="D433" s="90" t="s">
        <v>632</v>
      </c>
      <c r="E433" s="91">
        <v>44224.96875</v>
      </c>
      <c r="F433" s="91">
        <v>44224.970138888886</v>
      </c>
      <c r="G433" s="89" t="s">
        <v>614</v>
      </c>
      <c r="H433" s="89">
        <v>0</v>
      </c>
    </row>
    <row r="434" spans="1:8" x14ac:dyDescent="0.3">
      <c r="A434" s="92"/>
      <c r="B434" s="93" t="s">
        <v>1041</v>
      </c>
      <c r="C434" s="92" t="s">
        <v>613</v>
      </c>
      <c r="D434" s="93" t="s">
        <v>625</v>
      </c>
      <c r="E434" s="94">
        <v>44224.954861111109</v>
      </c>
      <c r="F434" s="94">
        <v>44224.959027777775</v>
      </c>
      <c r="G434" s="92" t="s">
        <v>614</v>
      </c>
      <c r="H434" s="92">
        <v>0</v>
      </c>
    </row>
    <row r="435" spans="1:8" x14ac:dyDescent="0.3">
      <c r="A435" s="89"/>
      <c r="B435" s="90" t="s">
        <v>1042</v>
      </c>
      <c r="C435" s="89" t="s">
        <v>613</v>
      </c>
      <c r="D435" s="90" t="s">
        <v>629</v>
      </c>
      <c r="E435" s="91">
        <v>44224.965277777781</v>
      </c>
      <c r="F435" s="91">
        <v>44224.967361111114</v>
      </c>
      <c r="G435" s="89" t="s">
        <v>614</v>
      </c>
      <c r="H435" s="89">
        <v>0</v>
      </c>
    </row>
    <row r="436" spans="1:8" x14ac:dyDescent="0.3">
      <c r="A436" s="92"/>
      <c r="B436" s="93" t="s">
        <v>1043</v>
      </c>
      <c r="C436" s="92" t="s">
        <v>613</v>
      </c>
      <c r="D436" s="93" t="s">
        <v>628</v>
      </c>
      <c r="E436" s="94">
        <v>44224.965277777781</v>
      </c>
      <c r="F436" s="94">
        <v>44224.967361111114</v>
      </c>
      <c r="G436" s="92" t="s">
        <v>614</v>
      </c>
      <c r="H436" s="92">
        <v>0</v>
      </c>
    </row>
    <row r="437" spans="1:8" x14ac:dyDescent="0.3">
      <c r="A437" s="89"/>
      <c r="B437" s="90" t="s">
        <v>1044</v>
      </c>
      <c r="C437" s="89" t="s">
        <v>613</v>
      </c>
      <c r="D437" s="90" t="s">
        <v>623</v>
      </c>
      <c r="E437" s="91">
        <v>44224.954861111109</v>
      </c>
      <c r="F437" s="91">
        <v>44224.959027777775</v>
      </c>
      <c r="G437" s="89" t="s">
        <v>614</v>
      </c>
      <c r="H437" s="89">
        <v>0</v>
      </c>
    </row>
    <row r="438" spans="1:8" x14ac:dyDescent="0.3">
      <c r="A438" s="92"/>
      <c r="B438" s="93" t="s">
        <v>1045</v>
      </c>
      <c r="C438" s="92" t="s">
        <v>613</v>
      </c>
      <c r="D438" s="93" t="s">
        <v>633</v>
      </c>
      <c r="E438" s="94">
        <v>44224.972222222219</v>
      </c>
      <c r="F438" s="94">
        <v>44224.973611111112</v>
      </c>
      <c r="G438" s="92" t="s">
        <v>614</v>
      </c>
      <c r="H438" s="92">
        <v>0</v>
      </c>
    </row>
    <row r="439" spans="1:8" x14ac:dyDescent="0.3">
      <c r="A439" s="89"/>
      <c r="B439" s="90" t="s">
        <v>1046</v>
      </c>
      <c r="C439" s="89" t="s">
        <v>613</v>
      </c>
      <c r="D439" s="90" t="s">
        <v>634</v>
      </c>
      <c r="E439" s="91">
        <v>44224.972222222219</v>
      </c>
      <c r="F439" s="91">
        <v>44224.973611111112</v>
      </c>
      <c r="G439" s="89" t="s">
        <v>614</v>
      </c>
      <c r="H439" s="89">
        <v>0</v>
      </c>
    </row>
    <row r="440" spans="1:8" x14ac:dyDescent="0.3">
      <c r="A440" s="92"/>
      <c r="B440" s="93" t="s">
        <v>1047</v>
      </c>
      <c r="C440" s="92" t="s">
        <v>613</v>
      </c>
      <c r="D440" s="93" t="s">
        <v>617</v>
      </c>
      <c r="E440" s="94">
        <v>44224.947916666664</v>
      </c>
      <c r="F440" s="94">
        <v>44224.959027777775</v>
      </c>
      <c r="G440" s="92" t="s">
        <v>614</v>
      </c>
      <c r="H440" s="92">
        <v>0</v>
      </c>
    </row>
    <row r="441" spans="1:8" x14ac:dyDescent="0.3">
      <c r="A441" s="89"/>
      <c r="B441" s="90" t="s">
        <v>1048</v>
      </c>
      <c r="C441" s="89" t="s">
        <v>613</v>
      </c>
      <c r="D441" s="90" t="s">
        <v>636</v>
      </c>
      <c r="E441" s="91">
        <v>44224.975694444445</v>
      </c>
      <c r="F441" s="91">
        <v>44224.977083333331</v>
      </c>
      <c r="G441" s="89" t="s">
        <v>614</v>
      </c>
      <c r="H441" s="89">
        <v>0</v>
      </c>
    </row>
    <row r="442" spans="1:8" x14ac:dyDescent="0.3">
      <c r="A442" s="92"/>
      <c r="B442" s="93" t="s">
        <v>1049</v>
      </c>
      <c r="C442" s="92" t="s">
        <v>613</v>
      </c>
      <c r="D442" s="93" t="s">
        <v>620</v>
      </c>
      <c r="E442" s="94">
        <v>44224.951388888891</v>
      </c>
      <c r="F442" s="94">
        <v>44224.95416666667</v>
      </c>
      <c r="G442" s="92" t="s">
        <v>614</v>
      </c>
      <c r="H442" s="92">
        <v>0</v>
      </c>
    </row>
    <row r="443" spans="1:8" x14ac:dyDescent="0.3">
      <c r="A443" s="89"/>
      <c r="B443" s="90" t="s">
        <v>1050</v>
      </c>
      <c r="C443" s="89" t="s">
        <v>613</v>
      </c>
      <c r="D443" s="90" t="s">
        <v>618</v>
      </c>
      <c r="E443" s="91">
        <v>44224.947916666664</v>
      </c>
      <c r="F443" s="91">
        <v>44224.950694444444</v>
      </c>
      <c r="G443" s="89" t="s">
        <v>614</v>
      </c>
      <c r="H443" s="89">
        <v>0</v>
      </c>
    </row>
    <row r="444" spans="1:8" x14ac:dyDescent="0.3">
      <c r="A444" s="92"/>
      <c r="B444" s="93" t="s">
        <v>1051</v>
      </c>
      <c r="C444" s="92" t="s">
        <v>613</v>
      </c>
      <c r="D444" s="93" t="s">
        <v>635</v>
      </c>
      <c r="E444" s="94">
        <v>44224.972222222219</v>
      </c>
      <c r="F444" s="94">
        <v>44224.973611111112</v>
      </c>
      <c r="G444" s="92" t="s">
        <v>614</v>
      </c>
      <c r="H444" s="92">
        <v>0</v>
      </c>
    </row>
    <row r="445" spans="1:8" x14ac:dyDescent="0.3">
      <c r="A445" s="89"/>
      <c r="B445" s="90" t="s">
        <v>1052</v>
      </c>
      <c r="C445" s="89" t="s">
        <v>613</v>
      </c>
      <c r="D445" s="90" t="s">
        <v>637</v>
      </c>
      <c r="E445" s="91">
        <v>44224.975694444445</v>
      </c>
      <c r="F445" s="91">
        <v>44224.977083333331</v>
      </c>
      <c r="G445" s="89" t="s">
        <v>614</v>
      </c>
      <c r="H445" s="89">
        <v>0</v>
      </c>
    </row>
    <row r="446" spans="1:8" x14ac:dyDescent="0.3">
      <c r="A446" s="92"/>
      <c r="B446" s="93" t="s">
        <v>1053</v>
      </c>
      <c r="C446" s="92" t="s">
        <v>613</v>
      </c>
      <c r="D446" s="93" t="s">
        <v>621</v>
      </c>
      <c r="E446" s="94">
        <v>44224.951388888891</v>
      </c>
      <c r="F446" s="94">
        <v>44224.95416666667</v>
      </c>
      <c r="G446" s="92" t="s">
        <v>614</v>
      </c>
      <c r="H446" s="92">
        <v>0</v>
      </c>
    </row>
    <row r="447" spans="1:8" x14ac:dyDescent="0.3">
      <c r="A447" s="89"/>
      <c r="B447" s="90" t="s">
        <v>1054</v>
      </c>
      <c r="C447" s="89" t="s">
        <v>613</v>
      </c>
      <c r="D447" s="90" t="s">
        <v>619</v>
      </c>
      <c r="E447" s="91">
        <v>44224.947916666664</v>
      </c>
      <c r="F447" s="91">
        <v>44224.95</v>
      </c>
      <c r="G447" s="89" t="s">
        <v>614</v>
      </c>
      <c r="H447" s="89">
        <v>0</v>
      </c>
    </row>
    <row r="448" spans="1:8" x14ac:dyDescent="0.3">
      <c r="A448" s="92"/>
      <c r="B448" s="93" t="s">
        <v>1055</v>
      </c>
      <c r="C448" s="92" t="s">
        <v>613</v>
      </c>
      <c r="D448" s="93" t="s">
        <v>638</v>
      </c>
      <c r="E448" s="94">
        <v>44224.975694444445</v>
      </c>
      <c r="F448" s="94">
        <v>44224.977083333331</v>
      </c>
      <c r="G448" s="92" t="s">
        <v>614</v>
      </c>
      <c r="H448" s="92">
        <v>0</v>
      </c>
    </row>
    <row r="449" spans="1:8" x14ac:dyDescent="0.3">
      <c r="A449" s="89"/>
      <c r="B449" s="90" t="s">
        <v>1056</v>
      </c>
      <c r="C449" s="89" t="s">
        <v>613</v>
      </c>
      <c r="D449" s="90" t="s">
        <v>622</v>
      </c>
      <c r="E449" s="91">
        <v>44224.951388888891</v>
      </c>
      <c r="F449" s="91">
        <v>44224.95416666667</v>
      </c>
      <c r="G449" s="89" t="s">
        <v>614</v>
      </c>
      <c r="H449" s="89">
        <v>0</v>
      </c>
    </row>
    <row r="450" spans="1:8" x14ac:dyDescent="0.3">
      <c r="A450" s="43"/>
      <c r="B450" s="44" t="s">
        <v>1056</v>
      </c>
      <c r="C450" s="45" t="s">
        <v>613</v>
      </c>
      <c r="D450" s="44" t="s">
        <v>622</v>
      </c>
      <c r="E450" s="13">
        <v>44224.951388888891</v>
      </c>
      <c r="F450" s="13">
        <v>44224.95416666667</v>
      </c>
      <c r="G450" s="45" t="s">
        <v>614</v>
      </c>
      <c r="H450" s="46"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F344-4A93-4AE7-AAE5-0D59BF9FF5D1}">
  <dimension ref="A1:T130"/>
  <sheetViews>
    <sheetView zoomScale="85" zoomScaleNormal="85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I13" sqref="I13"/>
    </sheetView>
  </sheetViews>
  <sheetFormatPr defaultColWidth="38.6640625" defaultRowHeight="14.4" x14ac:dyDescent="0.3"/>
  <cols>
    <col min="1" max="1" width="10.88671875" customWidth="1"/>
    <col min="2" max="2" width="27.33203125" customWidth="1"/>
    <col min="3" max="3" width="11.6640625" customWidth="1"/>
    <col min="4" max="4" width="11.5546875" customWidth="1"/>
    <col min="5" max="5" width="26.33203125" customWidth="1"/>
    <col min="6" max="6" width="19.33203125" style="5" customWidth="1"/>
    <col min="7" max="7" width="17.44140625" style="5" hidden="1" customWidth="1"/>
    <col min="8" max="8" width="17.33203125" customWidth="1"/>
    <col min="9" max="9" width="18.44140625" customWidth="1"/>
    <col min="10" max="10" width="18.44140625" hidden="1" customWidth="1"/>
    <col min="11" max="11" width="41.109375" customWidth="1"/>
    <col min="12" max="12" width="37.88671875" style="14" customWidth="1"/>
    <col min="13" max="13" width="23.88671875" customWidth="1"/>
    <col min="14" max="14" width="16.5546875" customWidth="1"/>
    <col min="15" max="15" width="19.109375" customWidth="1"/>
    <col min="16" max="16" width="19.109375" hidden="1" customWidth="1"/>
    <col min="17" max="17" width="4.88671875" customWidth="1"/>
    <col min="18" max="18" width="102.5546875" customWidth="1"/>
    <col min="19" max="19" width="14" customWidth="1"/>
    <col min="20" max="20" width="15" customWidth="1"/>
  </cols>
  <sheetData>
    <row r="1" spans="1:20" x14ac:dyDescent="0.3">
      <c r="A1" s="1"/>
      <c r="B1" s="1" t="s">
        <v>1057</v>
      </c>
      <c r="C1" s="37">
        <v>44238</v>
      </c>
      <c r="D1" s="30">
        <f>Cycle_Date+1</f>
        <v>44239</v>
      </c>
      <c r="E1" s="31" t="s">
        <v>1058</v>
      </c>
      <c r="H1" s="38" t="s">
        <v>1059</v>
      </c>
      <c r="I1" s="32"/>
      <c r="J1" s="32"/>
      <c r="K1" s="32"/>
      <c r="L1" s="32"/>
      <c r="M1" s="32"/>
    </row>
    <row r="2" spans="1:20" ht="12.75" customHeight="1" thickBot="1" x14ac:dyDescent="0.35">
      <c r="H2" s="33"/>
    </row>
    <row r="3" spans="1:20" ht="41.25" customHeight="1" thickTop="1" thickBot="1" x14ac:dyDescent="0.35">
      <c r="A3" s="82" t="s">
        <v>1060</v>
      </c>
      <c r="B3" s="83" t="s">
        <v>1061</v>
      </c>
      <c r="C3" s="80" t="s">
        <v>1062</v>
      </c>
      <c r="D3" s="53" t="s">
        <v>1063</v>
      </c>
      <c r="E3" s="80" t="s">
        <v>1064</v>
      </c>
      <c r="F3" s="79" t="s">
        <v>1065</v>
      </c>
      <c r="G3" s="63" t="s">
        <v>1066</v>
      </c>
      <c r="H3" s="12" t="s">
        <v>1067</v>
      </c>
      <c r="I3" s="64" t="s">
        <v>1068</v>
      </c>
      <c r="J3" s="64" t="s">
        <v>1069</v>
      </c>
      <c r="K3" s="53" t="s">
        <v>1070</v>
      </c>
      <c r="L3" s="19" t="s">
        <v>1071</v>
      </c>
      <c r="M3" s="80" t="s">
        <v>1072</v>
      </c>
      <c r="N3" s="53" t="s">
        <v>1073</v>
      </c>
      <c r="O3" s="53" t="s">
        <v>1074</v>
      </c>
      <c r="P3" s="77" t="s">
        <v>1075</v>
      </c>
      <c r="Q3" s="52"/>
      <c r="S3" t="s">
        <v>1076</v>
      </c>
      <c r="T3" t="s">
        <v>1077</v>
      </c>
    </row>
    <row r="4" spans="1:20" ht="26.25" customHeight="1" x14ac:dyDescent="0.3">
      <c r="A4" s="54" t="s">
        <v>8</v>
      </c>
      <c r="B4" s="10" t="s">
        <v>1078</v>
      </c>
      <c r="C4" s="10" t="s">
        <v>1079</v>
      </c>
      <c r="D4" s="55" t="str">
        <f>_xlfn.TEXTJOIN("",TRUE, "VIP",ReloadStatusTable[[#This Row],[Abbreviation]],"T")</f>
        <v>VIPNEQT</v>
      </c>
      <c r="E4" s="10" t="s">
        <v>1080</v>
      </c>
      <c r="F4" s="7">
        <v>44238.9375</v>
      </c>
      <c r="G4" s="60">
        <f>ReloadStatusTable[[#This Row],[Forecasted Reload Completion Time (MT)]]+1/24</f>
        <v>44238.979166666664</v>
      </c>
      <c r="H4" s="35" t="str">
        <f>IF(ReloadStatusTable[[#This Row],[Actual Completion time (MT)]]="","not done yet","Complete")</f>
        <v>not done yet</v>
      </c>
      <c r="I4" s="48" t="str">
        <f>_xlfn.XLOOKUP(CONCATENATE(ReloadStatusTable[[#This Row],[Table]],TEXT(Process_Date,"yyyy-mm-dd")),'Daily_Completion Status'!F:F,'Daily_Completion Status'!H:H,"",0)</f>
        <v/>
      </c>
      <c r="J4" s="73" t="e">
        <f>ReloadStatusTable[[#This Row],[Actual Completion time (MT)]]+1/24</f>
        <v>#VALUE!</v>
      </c>
      <c r="K4" s="70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VAN-INFOCAST-NDW-DEN-NEQ-DLY</v>
      </c>
      <c r="L4" s="71" t="s">
        <v>1081</v>
      </c>
      <c r="M4" s="11">
        <v>44239.020833333336</v>
      </c>
      <c r="N4" s="72" t="str">
        <f>IF(ReloadStatusTable[[#This Row],[DWH Infocast Jobname]]="N/A","N/A",IF(ReloadStatusTable[[#This Row],[DWH Infocast File Actual Delivery Time (MT)]]="","not delivered yet","Delivered"))</f>
        <v>not delivered yet</v>
      </c>
      <c r="O4" s="65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" s="76" t="e">
        <f>ReloadStatusTable[[#This Row],[DWH Infocast File Actual Delivery Time (MT)]] + 1/24</f>
        <v>#VALUE!</v>
      </c>
      <c r="Q4" s="52"/>
      <c r="R4" s="86"/>
      <c r="S4">
        <v>1400</v>
      </c>
      <c r="T4">
        <v>45000</v>
      </c>
    </row>
    <row r="5" spans="1:20" ht="26.25" customHeight="1" x14ac:dyDescent="0.3">
      <c r="A5" s="49" t="s">
        <v>369</v>
      </c>
      <c r="B5" s="6" t="s">
        <v>1078</v>
      </c>
      <c r="C5" s="6" t="s">
        <v>1079</v>
      </c>
      <c r="D5" s="58" t="str">
        <f>_xlfn.TEXTJOIN("",TRUE, "VIP",ReloadStatusTable[[#This Row],[Abbreviation]],"T")</f>
        <v>VIPNEQT</v>
      </c>
      <c r="E5" s="6" t="s">
        <v>1080</v>
      </c>
      <c r="F5" s="7">
        <v>44238.9375</v>
      </c>
      <c r="G5" s="61">
        <f>ReloadStatusTable[[#This Row],[Forecasted Reload Completion Time (MT)]]+1/24</f>
        <v>44238.979166666664</v>
      </c>
      <c r="H5" s="35" t="str">
        <f>IF(ReloadStatusTable[[#This Row],[Actual Completion time (MT)]]="","not done yet","Complete")</f>
        <v>not done yet</v>
      </c>
      <c r="I5" s="7" t="str">
        <f>_xlfn.XLOOKUP(CONCATENATE(ReloadStatusTable[[#This Row],[Table]],TEXT(Process_Date,"yyyy-mm-dd")),'Daily_Completion Status'!F:F,'Daily_Completion Status'!H:H,"",0)</f>
        <v/>
      </c>
      <c r="J5" s="74" t="e">
        <f>ReloadStatusTable[[#This Row],[Actual Completion time (MT)]]+1/24</f>
        <v>#VALUE!</v>
      </c>
      <c r="K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VAN-INFOCAST-NDW-SLC-NEQ-DLY</v>
      </c>
      <c r="L5" s="17" t="s">
        <v>1081</v>
      </c>
      <c r="M5" s="7">
        <v>44239.020833333336</v>
      </c>
      <c r="N5" s="35" t="str">
        <f>IF(ReloadStatusTable[[#This Row],[DWH Infocast Jobname]]="N/A","N/A",IF(ReloadStatusTable[[#This Row],[DWH Infocast File Actual Delivery Time (MT)]]="","not delivered yet","Delivered"))</f>
        <v>not delivered yet</v>
      </c>
      <c r="O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" s="20" t="e">
        <f>ReloadStatusTable[[#This Row],[DWH Infocast File Actual Delivery Time (MT)]] + 1/24</f>
        <v>#VALUE!</v>
      </c>
      <c r="Q5" s="52"/>
      <c r="R5" s="86"/>
      <c r="S5">
        <v>1400</v>
      </c>
      <c r="T5">
        <v>45000</v>
      </c>
    </row>
    <row r="6" spans="1:20" ht="26.25" customHeight="1" x14ac:dyDescent="0.3">
      <c r="A6" s="49" t="s">
        <v>489</v>
      </c>
      <c r="B6" s="6" t="s">
        <v>1078</v>
      </c>
      <c r="C6" s="6" t="s">
        <v>1079</v>
      </c>
      <c r="D6" s="58" t="str">
        <f>_xlfn.TEXTJOIN("",TRUE, "VIP",ReloadStatusTable[[#This Row],[Abbreviation]],"T")</f>
        <v>VIPNEQT</v>
      </c>
      <c r="E6" s="6" t="s">
        <v>1080</v>
      </c>
      <c r="F6" s="7">
        <v>44238.9375</v>
      </c>
      <c r="G6" s="61">
        <f>ReloadStatusTable[[#This Row],[Forecasted Reload Completion Time (MT)]]+1/24</f>
        <v>44238.979166666664</v>
      </c>
      <c r="H6" s="35" t="str">
        <f>IF(ReloadStatusTable[[#This Row],[Actual Completion time (MT)]]="","not done yet","Complete")</f>
        <v>not done yet</v>
      </c>
      <c r="I6" s="7" t="str">
        <f>_xlfn.XLOOKUP(CONCATENATE(ReloadStatusTable[[#This Row],[Table]],TEXT(Process_Date,"yyyy-mm-dd")),'Daily_Completion Status'!F:F,'Daily_Completion Status'!H:H,"",0)</f>
        <v/>
      </c>
      <c r="J6" s="74" t="e">
        <f>ReloadStatusTable[[#This Row],[Actual Completion time (MT)]]+1/24</f>
        <v>#VALUE!</v>
      </c>
      <c r="K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VAN-INFOCAST-NDW-WOM-NEQ-DLY</v>
      </c>
      <c r="L6" s="17" t="s">
        <v>1081</v>
      </c>
      <c r="M6" s="7">
        <v>44239.020833333336</v>
      </c>
      <c r="N6" s="35" t="str">
        <f>IF(ReloadStatusTable[[#This Row],[DWH Infocast Jobname]]="N/A","N/A",IF(ReloadStatusTable[[#This Row],[DWH Infocast File Actual Delivery Time (MT)]]="","not delivered yet","Delivered"))</f>
        <v>not delivered yet</v>
      </c>
      <c r="O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" s="20" t="e">
        <f>ReloadStatusTable[[#This Row],[DWH Infocast File Actual Delivery Time (MT)]] + 1/24</f>
        <v>#VALUE!</v>
      </c>
      <c r="Q6" s="52"/>
      <c r="R6" s="86"/>
      <c r="S6">
        <v>1400</v>
      </c>
      <c r="T6">
        <v>45000</v>
      </c>
    </row>
    <row r="7" spans="1:20" ht="26.25" customHeight="1" x14ac:dyDescent="0.3">
      <c r="A7" s="56" t="s">
        <v>8</v>
      </c>
      <c r="B7" s="6" t="s">
        <v>1082</v>
      </c>
      <c r="C7" s="6" t="s">
        <v>1083</v>
      </c>
      <c r="D7" s="57" t="str">
        <f>_xlfn.TEXTJOIN("",TRUE, "VIP",ReloadStatusTable[[#This Row],[Abbreviation]],"T")</f>
        <v>VIPCONT</v>
      </c>
      <c r="E7" s="6" t="s">
        <v>1084</v>
      </c>
      <c r="F7" s="7">
        <v>44238.916666666664</v>
      </c>
      <c r="G7" s="61">
        <f>ReloadStatusTable[[#This Row],[Forecasted Reload Completion Time (MT)]]+1/24</f>
        <v>44238.958333333328</v>
      </c>
      <c r="H7" s="35" t="str">
        <f>IF(ReloadStatusTable[[#This Row],[Actual Completion time (MT)]]="","not done yet","Complete")</f>
        <v>not done yet</v>
      </c>
      <c r="I7" s="7" t="str">
        <f>_xlfn.XLOOKUP(CONCATENATE(ReloadStatusTable[[#This Row],[Table]],TEXT(Process_Date,"yyyy-mm-dd")),'Daily_Completion Status'!F:F,'Daily_Completion Status'!H:H,"",0)</f>
        <v/>
      </c>
      <c r="J7" s="74" t="e">
        <f>ReloadStatusTable[[#This Row],[Actual Completion time (MT)]]+1/24</f>
        <v>#VALUE!</v>
      </c>
      <c r="K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VAN-INFOCAST-NDW-DEN-CON-DLY</v>
      </c>
      <c r="L7" s="28" t="s">
        <v>1085</v>
      </c>
      <c r="M7" s="27" t="s">
        <v>1085</v>
      </c>
      <c r="N7" s="36" t="str">
        <f>IF(ReloadStatusTable[[#This Row],[DWH Infocast Jobname]]="N/A","N/A",IF(ReloadStatusTable[[#This Row],[DWH Infocast File Actual Delivery Time (MT)]]="","not delivered yet","Delivered"))</f>
        <v>not delivered yet</v>
      </c>
      <c r="O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" s="29" t="e">
        <f>ReloadStatusTable[[#This Row],[DWH Infocast File Actual Delivery Time (MT)]] + 1/24</f>
        <v>#VALUE!</v>
      </c>
      <c r="Q7" s="52"/>
    </row>
    <row r="8" spans="1:20" ht="26.25" customHeight="1" x14ac:dyDescent="0.3">
      <c r="A8" s="49" t="s">
        <v>369</v>
      </c>
      <c r="B8" s="6" t="s">
        <v>1082</v>
      </c>
      <c r="C8" s="6" t="s">
        <v>1083</v>
      </c>
      <c r="D8" s="58" t="str">
        <f>_xlfn.TEXTJOIN("",TRUE, "VIP",ReloadStatusTable[[#This Row],[Abbreviation]],"T")</f>
        <v>VIPCONT</v>
      </c>
      <c r="E8" s="6" t="s">
        <v>1084</v>
      </c>
      <c r="F8" s="7">
        <v>44238.916666666664</v>
      </c>
      <c r="G8" s="61">
        <f>ReloadStatusTable[[#This Row],[Forecasted Reload Completion Time (MT)]]+1/24</f>
        <v>44238.958333333328</v>
      </c>
      <c r="H8" s="35" t="str">
        <f>IF(ReloadStatusTable[[#This Row],[Actual Completion time (MT)]]="","not done yet","Complete")</f>
        <v>not done yet</v>
      </c>
      <c r="I8" s="7" t="str">
        <f>_xlfn.XLOOKUP(CONCATENATE(ReloadStatusTable[[#This Row],[Table]],TEXT(Process_Date,"yyyy-mm-dd")),'Daily_Completion Status'!F:F,'Daily_Completion Status'!H:H,"",0)</f>
        <v/>
      </c>
      <c r="J8" s="74" t="e">
        <f>ReloadStatusTable[[#This Row],[Actual Completion time (MT)]]+1/24</f>
        <v>#VALUE!</v>
      </c>
      <c r="K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VAN-INFOCAST-NDW-SLC-CON-DLY</v>
      </c>
      <c r="L8" s="28" t="s">
        <v>1085</v>
      </c>
      <c r="M8" s="27" t="s">
        <v>1085</v>
      </c>
      <c r="N8" s="36" t="str">
        <f>IF(ReloadStatusTable[[#This Row],[DWH Infocast Jobname]]="N/A","N/A",IF(ReloadStatusTable[[#This Row],[DWH Infocast File Actual Delivery Time (MT)]]="","not delivered yet","Delivered"))</f>
        <v>not delivered yet</v>
      </c>
      <c r="O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" s="29" t="e">
        <f>ReloadStatusTable[[#This Row],[DWH Infocast File Actual Delivery Time (MT)]] + 1/24</f>
        <v>#VALUE!</v>
      </c>
      <c r="Q8" s="52"/>
    </row>
    <row r="9" spans="1:20" ht="26.25" customHeight="1" x14ac:dyDescent="0.3">
      <c r="A9" s="49" t="s">
        <v>489</v>
      </c>
      <c r="B9" s="6" t="s">
        <v>1082</v>
      </c>
      <c r="C9" s="6" t="s">
        <v>1083</v>
      </c>
      <c r="D9" s="58" t="str">
        <f>_xlfn.TEXTJOIN("",TRUE, "VIP",ReloadStatusTable[[#This Row],[Abbreviation]],"T")</f>
        <v>VIPCONT</v>
      </c>
      <c r="E9" s="6" t="s">
        <v>1084</v>
      </c>
      <c r="F9" s="7">
        <v>44238.916666666664</v>
      </c>
      <c r="G9" s="61">
        <f>ReloadStatusTable[[#This Row],[Forecasted Reload Completion Time (MT)]]+1/24</f>
        <v>44238.958333333328</v>
      </c>
      <c r="H9" s="35" t="str">
        <f>IF(ReloadStatusTable[[#This Row],[Actual Completion time (MT)]]="","not done yet","Complete")</f>
        <v>not done yet</v>
      </c>
      <c r="I9" s="7" t="str">
        <f>_xlfn.XLOOKUP(CONCATENATE(ReloadStatusTable[[#This Row],[Table]],TEXT(Process_Date,"yyyy-mm-dd")),'Daily_Completion Status'!F:F,'Daily_Completion Status'!H:H,"",0)</f>
        <v/>
      </c>
      <c r="J9" s="74" t="e">
        <f>ReloadStatusTable[[#This Row],[Actual Completion time (MT)]]+1/24</f>
        <v>#VALUE!</v>
      </c>
      <c r="K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VAN-INFOCAST-NDW-WOM-CON-DLY</v>
      </c>
      <c r="L9" s="28" t="s">
        <v>1085</v>
      </c>
      <c r="M9" s="27" t="s">
        <v>1085</v>
      </c>
      <c r="N9" s="36" t="str">
        <f>IF(ReloadStatusTable[[#This Row],[DWH Infocast Jobname]]="N/A","N/A",IF(ReloadStatusTable[[#This Row],[DWH Infocast File Actual Delivery Time (MT)]]="","not delivered yet","Delivered"))</f>
        <v>not delivered yet</v>
      </c>
      <c r="O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" s="29" t="e">
        <f>ReloadStatusTable[[#This Row],[DWH Infocast File Actual Delivery Time (MT)]] + 1/24</f>
        <v>#VALUE!</v>
      </c>
      <c r="Q9" s="52"/>
    </row>
    <row r="10" spans="1:20" ht="26.25" customHeight="1" x14ac:dyDescent="0.3">
      <c r="A10" s="56" t="s">
        <v>8</v>
      </c>
      <c r="B10" s="6" t="s">
        <v>1086</v>
      </c>
      <c r="C10" s="6" t="s">
        <v>1087</v>
      </c>
      <c r="D10" s="57" t="str">
        <f>_xlfn.TEXTJOIN("",TRUE, "VIP",ReloadStatusTable[[#This Row],[Abbreviation]],"T")</f>
        <v>VIPHSBT</v>
      </c>
      <c r="E10" s="6" t="s">
        <v>1088</v>
      </c>
      <c r="F10" s="7">
        <v>44238.916666666664</v>
      </c>
      <c r="G10" s="61">
        <f>ReloadStatusTable[[#This Row],[Forecasted Reload Completion Time (MT)]]+1/24</f>
        <v>44238.958333333328</v>
      </c>
      <c r="H10" s="35" t="str">
        <f>IF(ReloadStatusTable[[#This Row],[Actual Completion time (MT)]]="","not done yet","Complete")</f>
        <v>not done yet</v>
      </c>
      <c r="I10" s="7" t="str">
        <f>_xlfn.XLOOKUP(CONCATENATE(ReloadStatusTable[[#This Row],[Table]],TEXT(Process_Date,"yyyy-mm-dd")),'Daily_Completion Status'!F:F,'Daily_Completion Status'!H:H,"",0)</f>
        <v/>
      </c>
      <c r="J10" s="74" t="e">
        <f>ReloadStatusTable[[#This Row],[Actual Completion time (MT)]]+1/24</f>
        <v>#VALUE!</v>
      </c>
      <c r="K1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VAN-INFOCAST-NDW-DEN-HSE-DLY</v>
      </c>
      <c r="L10" s="17" t="s">
        <v>1089</v>
      </c>
      <c r="M10" s="7">
        <v>44239.010416666664</v>
      </c>
      <c r="N10" s="34" t="str">
        <f>IF(ReloadStatusTable[[#This Row],[DWH Infocast Jobname]]="N/A","N/A",IF(ReloadStatusTable[[#This Row],[DWH Infocast File Actual Delivery Time (MT)]]="","not delivered yet","Delivered"))</f>
        <v>not delivered yet</v>
      </c>
      <c r="O1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" s="20" t="e">
        <f>ReloadStatusTable[[#This Row],[DWH Infocast File Actual Delivery Time (MT)]] + 1/24</f>
        <v>#VALUE!</v>
      </c>
      <c r="Q10" s="52"/>
    </row>
    <row r="11" spans="1:20" ht="26.25" customHeight="1" x14ac:dyDescent="0.3">
      <c r="A11" s="49" t="s">
        <v>369</v>
      </c>
      <c r="B11" s="6" t="s">
        <v>1086</v>
      </c>
      <c r="C11" s="6" t="s">
        <v>1087</v>
      </c>
      <c r="D11" s="58" t="str">
        <f>_xlfn.TEXTJOIN("",TRUE, "VIP",ReloadStatusTable[[#This Row],[Abbreviation]],"T")</f>
        <v>VIPHSBT</v>
      </c>
      <c r="E11" s="6" t="s">
        <v>1088</v>
      </c>
      <c r="F11" s="7">
        <v>44238.916666666664</v>
      </c>
      <c r="G11" s="61">
        <f>ReloadStatusTable[[#This Row],[Forecasted Reload Completion Time (MT)]]+1/24</f>
        <v>44238.958333333328</v>
      </c>
      <c r="H11" s="35" t="str">
        <f>IF(ReloadStatusTable[[#This Row],[Actual Completion time (MT)]]="","not done yet","Complete")</f>
        <v>not done yet</v>
      </c>
      <c r="I11" s="7" t="str">
        <f>_xlfn.XLOOKUP(CONCATENATE(ReloadStatusTable[[#This Row],[Table]],TEXT(Process_Date,"yyyy-mm-dd")),'Daily_Completion Status'!F:F,'Daily_Completion Status'!H:H,"",0)</f>
        <v/>
      </c>
      <c r="J11" s="74" t="e">
        <f>ReloadStatusTable[[#This Row],[Actual Completion time (MT)]]+1/24</f>
        <v>#VALUE!</v>
      </c>
      <c r="K1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VAN-INFOCAST-NDW-SLC-HSE-DLY</v>
      </c>
      <c r="L11" s="17" t="s">
        <v>1089</v>
      </c>
      <c r="M11" s="7">
        <v>44239.010416666664</v>
      </c>
      <c r="N11" s="35" t="str">
        <f>IF(ReloadStatusTable[[#This Row],[DWH Infocast Jobname]]="N/A","N/A",IF(ReloadStatusTable[[#This Row],[DWH Infocast File Actual Delivery Time (MT)]]="","not delivered yet","Delivered"))</f>
        <v>not delivered yet</v>
      </c>
      <c r="O1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" s="20" t="e">
        <f>ReloadStatusTable[[#This Row],[DWH Infocast File Actual Delivery Time (MT)]] + 1/24</f>
        <v>#VALUE!</v>
      </c>
      <c r="Q11" s="52"/>
    </row>
    <row r="12" spans="1:20" ht="26.25" customHeight="1" x14ac:dyDescent="0.3">
      <c r="A12" s="49" t="s">
        <v>489</v>
      </c>
      <c r="B12" s="6" t="s">
        <v>1086</v>
      </c>
      <c r="C12" s="6" t="s">
        <v>1087</v>
      </c>
      <c r="D12" s="58" t="str">
        <f>_xlfn.TEXTJOIN("",TRUE, "VIP",ReloadStatusTable[[#This Row],[Abbreviation]],"T")</f>
        <v>VIPHSBT</v>
      </c>
      <c r="E12" s="6" t="s">
        <v>1088</v>
      </c>
      <c r="F12" s="7">
        <v>44238.916666666664</v>
      </c>
      <c r="G12" s="61">
        <f>ReloadStatusTable[[#This Row],[Forecasted Reload Completion Time (MT)]]+1/24</f>
        <v>44238.958333333328</v>
      </c>
      <c r="H12" s="35" t="str">
        <f>IF(ReloadStatusTable[[#This Row],[Actual Completion time (MT)]]="","not done yet","Complete")</f>
        <v>not done yet</v>
      </c>
      <c r="I12" s="7" t="str">
        <f>_xlfn.XLOOKUP(CONCATENATE(ReloadStatusTable[[#This Row],[Table]],TEXT(Process_Date,"yyyy-mm-dd")),'Daily_Completion Status'!F:F,'Daily_Completion Status'!H:H,"",0)</f>
        <v/>
      </c>
      <c r="J12" s="74" t="e">
        <f>ReloadStatusTable[[#This Row],[Actual Completion time (MT)]]+1/24</f>
        <v>#VALUE!</v>
      </c>
      <c r="K1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VAN-INFOCAST-NDW-WOM-HSE-DLY</v>
      </c>
      <c r="L12" s="17" t="s">
        <v>1089</v>
      </c>
      <c r="M12" s="7">
        <v>44239.010416666664</v>
      </c>
      <c r="N12" s="35" t="str">
        <f>IF(ReloadStatusTable[[#This Row],[DWH Infocast Jobname]]="N/A","N/A",IF(ReloadStatusTable[[#This Row],[DWH Infocast File Actual Delivery Time (MT)]]="","not delivered yet","Delivered"))</f>
        <v>not delivered yet</v>
      </c>
      <c r="O1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" s="20" t="e">
        <f>ReloadStatusTable[[#This Row],[DWH Infocast File Actual Delivery Time (MT)]] + 1/24</f>
        <v>#VALUE!</v>
      </c>
      <c r="Q12" s="52"/>
    </row>
    <row r="13" spans="1:20" ht="26.25" customHeight="1" x14ac:dyDescent="0.3">
      <c r="A13" s="56" t="s">
        <v>8</v>
      </c>
      <c r="B13" s="6" t="s">
        <v>1086</v>
      </c>
      <c r="C13" s="6" t="s">
        <v>1090</v>
      </c>
      <c r="D13" s="57" t="str">
        <f>_xlfn.TEXTJOIN("",TRUE, "VIP",ReloadStatusTable[[#This Row],[Abbreviation]],"T")</f>
        <v>VIPHSLT</v>
      </c>
      <c r="E13" s="6" t="s">
        <v>1091</v>
      </c>
      <c r="F13" s="7">
        <v>44238.916666666664</v>
      </c>
      <c r="G13" s="61">
        <f>ReloadStatusTable[[#This Row],[Forecasted Reload Completion Time (MT)]]+1/24</f>
        <v>44238.958333333328</v>
      </c>
      <c r="H13" s="35" t="str">
        <f>IF(ReloadStatusTable[[#This Row],[Actual Completion time (MT)]]="","not done yet","Complete")</f>
        <v>not done yet</v>
      </c>
      <c r="I13" s="7" t="str">
        <f>_xlfn.XLOOKUP(CONCATENATE(ReloadStatusTable[[#This Row],[Table]],TEXT(Process_Date,"yyyy-mm-dd")),'Daily_Completion Status'!F:F,'Daily_Completion Status'!H:H,"",0)</f>
        <v/>
      </c>
      <c r="J13" s="74" t="e">
        <f>ReloadStatusTable[[#This Row],[Actual Completion time (MT)]]+1/24</f>
        <v>#VALUE!</v>
      </c>
      <c r="K1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VAN-INFOCAST-NDW-DEN-HSL-DLY</v>
      </c>
      <c r="L13" s="17" t="s">
        <v>1092</v>
      </c>
      <c r="M13" s="7">
        <v>44239.010416666664</v>
      </c>
      <c r="N13" s="34" t="str">
        <f>IF(ReloadStatusTable[[#This Row],[DWH Infocast Jobname]]="N/A","N/A",IF(ReloadStatusTable[[#This Row],[DWH Infocast File Actual Delivery Time (MT)]]="","not delivered yet","Delivered"))</f>
        <v>not delivered yet</v>
      </c>
      <c r="O1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3" s="20" t="e">
        <f>ReloadStatusTable[[#This Row],[DWH Infocast File Actual Delivery Time (MT)]] + 1/24</f>
        <v>#VALUE!</v>
      </c>
      <c r="Q13" s="52"/>
    </row>
    <row r="14" spans="1:20" ht="26.25" customHeight="1" x14ac:dyDescent="0.3">
      <c r="A14" s="49" t="s">
        <v>369</v>
      </c>
      <c r="B14" s="6" t="s">
        <v>1086</v>
      </c>
      <c r="C14" s="6" t="s">
        <v>1090</v>
      </c>
      <c r="D14" s="58" t="str">
        <f>_xlfn.TEXTJOIN("",TRUE, "VIP",ReloadStatusTable[[#This Row],[Abbreviation]],"T")</f>
        <v>VIPHSLT</v>
      </c>
      <c r="E14" s="6" t="s">
        <v>1091</v>
      </c>
      <c r="F14" s="7">
        <v>44238.916666666664</v>
      </c>
      <c r="G14" s="61">
        <f>ReloadStatusTable[[#This Row],[Forecasted Reload Completion Time (MT)]]+1/24</f>
        <v>44238.958333333328</v>
      </c>
      <c r="H14" s="35" t="str">
        <f>IF(ReloadStatusTable[[#This Row],[Actual Completion time (MT)]]="","not done yet","Complete")</f>
        <v>not done yet</v>
      </c>
      <c r="I14" s="7" t="str">
        <f>_xlfn.XLOOKUP(CONCATENATE(ReloadStatusTable[[#This Row],[Table]],TEXT(Process_Date,"yyyy-mm-dd")),'Daily_Completion Status'!F:F,'Daily_Completion Status'!H:H,"",0)</f>
        <v/>
      </c>
      <c r="J14" s="74" t="e">
        <f>ReloadStatusTable[[#This Row],[Actual Completion time (MT)]]+1/24</f>
        <v>#VALUE!</v>
      </c>
      <c r="K1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VAN-INFOCAST-NDW-SLC-HSL-DLY</v>
      </c>
      <c r="L14" s="17" t="s">
        <v>1092</v>
      </c>
      <c r="M14" s="7">
        <v>44239.010416666664</v>
      </c>
      <c r="N14" s="35" t="str">
        <f>IF(ReloadStatusTable[[#This Row],[DWH Infocast Jobname]]="N/A","N/A",IF(ReloadStatusTable[[#This Row],[DWH Infocast File Actual Delivery Time (MT)]]="","not delivered yet","Delivered"))</f>
        <v>not delivered yet</v>
      </c>
      <c r="O1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4" s="20" t="e">
        <f>ReloadStatusTable[[#This Row],[DWH Infocast File Actual Delivery Time (MT)]] + 1/24</f>
        <v>#VALUE!</v>
      </c>
      <c r="Q14" s="52"/>
    </row>
    <row r="15" spans="1:20" ht="26.25" customHeight="1" x14ac:dyDescent="0.3">
      <c r="A15" s="49" t="s">
        <v>489</v>
      </c>
      <c r="B15" s="6" t="s">
        <v>1086</v>
      </c>
      <c r="C15" s="6" t="s">
        <v>1090</v>
      </c>
      <c r="D15" s="58" t="str">
        <f>_xlfn.TEXTJOIN("",TRUE, "VIP",ReloadStatusTable[[#This Row],[Abbreviation]],"T")</f>
        <v>VIPHSLT</v>
      </c>
      <c r="E15" s="6" t="s">
        <v>1091</v>
      </c>
      <c r="F15" s="7">
        <v>44238.916666666664</v>
      </c>
      <c r="G15" s="61">
        <f>ReloadStatusTable[[#This Row],[Forecasted Reload Completion Time (MT)]]+1/24</f>
        <v>44238.958333333328</v>
      </c>
      <c r="H15" s="35" t="str">
        <f>IF(ReloadStatusTable[[#This Row],[Actual Completion time (MT)]]="","not done yet","Complete")</f>
        <v>not done yet</v>
      </c>
      <c r="I15" s="7" t="str">
        <f>_xlfn.XLOOKUP(CONCATENATE(ReloadStatusTable[[#This Row],[Table]],TEXT(Process_Date,"yyyy-mm-dd")),'Daily_Completion Status'!F:F,'Daily_Completion Status'!H:H,"",0)</f>
        <v/>
      </c>
      <c r="J15" s="74" t="e">
        <f>ReloadStatusTable[[#This Row],[Actual Completion time (MT)]]+1/24</f>
        <v>#VALUE!</v>
      </c>
      <c r="K1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VAN-INFOCAST-NDW-WOM-HSL-DLY</v>
      </c>
      <c r="L15" s="17" t="s">
        <v>1092</v>
      </c>
      <c r="M15" s="7">
        <v>44239.010416666664</v>
      </c>
      <c r="N15" s="35" t="str">
        <f>IF(ReloadStatusTable[[#This Row],[DWH Infocast Jobname]]="N/A","N/A",IF(ReloadStatusTable[[#This Row],[DWH Infocast File Actual Delivery Time (MT)]]="","not delivered yet","Delivered"))</f>
        <v>not delivered yet</v>
      </c>
      <c r="O1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5" s="20" t="e">
        <f>ReloadStatusTable[[#This Row],[DWH Infocast File Actual Delivery Time (MT)]] + 1/24</f>
        <v>#VALUE!</v>
      </c>
      <c r="Q15" s="52"/>
    </row>
    <row r="16" spans="1:20" ht="26.25" customHeight="1" x14ac:dyDescent="0.3">
      <c r="A16" s="56" t="s">
        <v>8</v>
      </c>
      <c r="B16" s="6" t="s">
        <v>1086</v>
      </c>
      <c r="C16" s="6" t="s">
        <v>1093</v>
      </c>
      <c r="D16" s="57" t="str">
        <f>_xlfn.TEXTJOIN("",TRUE, "VIP",ReloadStatusTable[[#This Row],[Abbreviation]],"T")</f>
        <v>VIPHSMT</v>
      </c>
      <c r="E16" s="6" t="s">
        <v>1094</v>
      </c>
      <c r="F16" s="7">
        <v>44238.916666666664</v>
      </c>
      <c r="G16" s="61">
        <f>ReloadStatusTable[[#This Row],[Forecasted Reload Completion Time (MT)]]+1/24</f>
        <v>44238.958333333328</v>
      </c>
      <c r="H16" s="35" t="str">
        <f>IF(ReloadStatusTable[[#This Row],[Actual Completion time (MT)]]="","not done yet","Complete")</f>
        <v>not done yet</v>
      </c>
      <c r="I16" s="7" t="str">
        <f>_xlfn.XLOOKUP(CONCATENATE(ReloadStatusTable[[#This Row],[Table]],TEXT(Process_Date,"yyyy-mm-dd")),'Daily_Completion Status'!F:F,'Daily_Completion Status'!H:H,"",0)</f>
        <v/>
      </c>
      <c r="J16" s="74" t="e">
        <f>ReloadStatusTable[[#This Row],[Actual Completion time (MT)]]+1/24</f>
        <v>#VALUE!</v>
      </c>
      <c r="K1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VAN-INFOCAST-NDW-DEN-HSM-DLY</v>
      </c>
      <c r="L16" s="17" t="s">
        <v>1095</v>
      </c>
      <c r="M16" s="7">
        <v>44239.010416666664</v>
      </c>
      <c r="N16" s="34" t="str">
        <f>IF(ReloadStatusTable[[#This Row],[DWH Infocast Jobname]]="N/A","N/A",IF(ReloadStatusTable[[#This Row],[DWH Infocast File Actual Delivery Time (MT)]]="","not delivered yet","Delivered"))</f>
        <v>not delivered yet</v>
      </c>
      <c r="O1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6" s="20" t="e">
        <f>ReloadStatusTable[[#This Row],[DWH Infocast File Actual Delivery Time (MT)]] + 1/24</f>
        <v>#VALUE!</v>
      </c>
      <c r="Q16" s="52"/>
    </row>
    <row r="17" spans="1:17" ht="26.25" customHeight="1" x14ac:dyDescent="0.3">
      <c r="A17" s="49" t="s">
        <v>369</v>
      </c>
      <c r="B17" s="6" t="s">
        <v>1086</v>
      </c>
      <c r="C17" s="6" t="s">
        <v>1093</v>
      </c>
      <c r="D17" s="58" t="str">
        <f>_xlfn.TEXTJOIN("",TRUE, "VIP",ReloadStatusTable[[#This Row],[Abbreviation]],"T")</f>
        <v>VIPHSMT</v>
      </c>
      <c r="E17" s="6" t="s">
        <v>1094</v>
      </c>
      <c r="F17" s="7">
        <v>44238.916666666664</v>
      </c>
      <c r="G17" s="61">
        <f>ReloadStatusTable[[#This Row],[Forecasted Reload Completion Time (MT)]]+1/24</f>
        <v>44238.958333333328</v>
      </c>
      <c r="H17" s="35" t="str">
        <f>IF(ReloadStatusTable[[#This Row],[Actual Completion time (MT)]]="","not done yet","Complete")</f>
        <v>not done yet</v>
      </c>
      <c r="I17" s="7" t="str">
        <f>_xlfn.XLOOKUP(CONCATENATE(ReloadStatusTable[[#This Row],[Table]],TEXT(Process_Date,"yyyy-mm-dd")),'Daily_Completion Status'!F:F,'Daily_Completion Status'!H:H,"",0)</f>
        <v/>
      </c>
      <c r="J17" s="74" t="e">
        <f>ReloadStatusTable[[#This Row],[Actual Completion time (MT)]]+1/24</f>
        <v>#VALUE!</v>
      </c>
      <c r="K1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VAN-INFOCAST-NDW-SLC-HSM-DLY</v>
      </c>
      <c r="L17" s="17" t="s">
        <v>1095</v>
      </c>
      <c r="M17" s="7">
        <v>44239.010416666664</v>
      </c>
      <c r="N17" s="35" t="str">
        <f>IF(ReloadStatusTable[[#This Row],[DWH Infocast Jobname]]="N/A","N/A",IF(ReloadStatusTable[[#This Row],[DWH Infocast File Actual Delivery Time (MT)]]="","not delivered yet","Delivered"))</f>
        <v>not delivered yet</v>
      </c>
      <c r="O1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7" s="20" t="e">
        <f>ReloadStatusTable[[#This Row],[DWH Infocast File Actual Delivery Time (MT)]] + 1/24</f>
        <v>#VALUE!</v>
      </c>
      <c r="Q17" s="52"/>
    </row>
    <row r="18" spans="1:17" ht="26.25" customHeight="1" x14ac:dyDescent="0.3">
      <c r="A18" s="49" t="s">
        <v>489</v>
      </c>
      <c r="B18" s="6" t="s">
        <v>1086</v>
      </c>
      <c r="C18" s="6" t="s">
        <v>1093</v>
      </c>
      <c r="D18" s="58" t="str">
        <f>_xlfn.TEXTJOIN("",TRUE, "VIP",ReloadStatusTable[[#This Row],[Abbreviation]],"T")</f>
        <v>VIPHSMT</v>
      </c>
      <c r="E18" s="6" t="s">
        <v>1094</v>
      </c>
      <c r="F18" s="7">
        <v>44238.916666666664</v>
      </c>
      <c r="G18" s="61">
        <f>ReloadStatusTable[[#This Row],[Forecasted Reload Completion Time (MT)]]+1/24</f>
        <v>44238.958333333328</v>
      </c>
      <c r="H18" s="35" t="str">
        <f>IF(ReloadStatusTable[[#This Row],[Actual Completion time (MT)]]="","not done yet","Complete")</f>
        <v>not done yet</v>
      </c>
      <c r="I18" s="7" t="str">
        <f>_xlfn.XLOOKUP(CONCATENATE(ReloadStatusTable[[#This Row],[Table]],TEXT(Process_Date,"yyyy-mm-dd")),'Daily_Completion Status'!F:F,'Daily_Completion Status'!H:H,"",0)</f>
        <v/>
      </c>
      <c r="J18" s="74" t="e">
        <f>ReloadStatusTable[[#This Row],[Actual Completion time (MT)]]+1/24</f>
        <v>#VALUE!</v>
      </c>
      <c r="K1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VAN-INFOCAST-NDW-WOM-HSM-DLY</v>
      </c>
      <c r="L18" s="17" t="s">
        <v>1095</v>
      </c>
      <c r="M18" s="7">
        <v>44239.010416666664</v>
      </c>
      <c r="N18" s="35" t="str">
        <f>IF(ReloadStatusTable[[#This Row],[DWH Infocast Jobname]]="N/A","N/A",IF(ReloadStatusTable[[#This Row],[DWH Infocast File Actual Delivery Time (MT)]]="","not delivered yet","Delivered"))</f>
        <v>not delivered yet</v>
      </c>
      <c r="O1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8" s="20" t="e">
        <f>ReloadStatusTable[[#This Row],[DWH Infocast File Actual Delivery Time (MT)]] + 1/24</f>
        <v>#VALUE!</v>
      </c>
      <c r="Q18" s="52"/>
    </row>
    <row r="19" spans="1:17" ht="26.25" customHeight="1" x14ac:dyDescent="0.3">
      <c r="A19" s="56" t="s">
        <v>8</v>
      </c>
      <c r="B19" s="6" t="s">
        <v>1096</v>
      </c>
      <c r="C19" s="6" t="s">
        <v>1097</v>
      </c>
      <c r="D19" s="57" t="str">
        <f>_xlfn.TEXTJOIN("",TRUE, "VIP",ReloadStatusTable[[#This Row],[Abbreviation]],"T")</f>
        <v>VIPEPDT</v>
      </c>
      <c r="E19" s="6" t="s">
        <v>1098</v>
      </c>
      <c r="F19" s="7">
        <v>44238.895833333336</v>
      </c>
      <c r="G19" s="61">
        <f>ReloadStatusTable[[#This Row],[Forecasted Reload Completion Time (MT)]]+1/24</f>
        <v>44238.9375</v>
      </c>
      <c r="H19" s="35" t="str">
        <f>IF(ReloadStatusTable[[#This Row],[Actual Completion time (MT)]]="","not done yet","Complete")</f>
        <v>not done yet</v>
      </c>
      <c r="I19" s="7" t="str">
        <f>_xlfn.XLOOKUP(CONCATENATE(ReloadStatusTable[[#This Row],[Table]],TEXT(Process_Date,"yyyy-mm-dd")),'Daily_Completion Status'!F:F,'Daily_Completion Status'!H:H,"",0)</f>
        <v/>
      </c>
      <c r="J19" s="74" t="e">
        <f>ReloadStatusTable[[#This Row],[Actual Completion time (MT)]]+1/24</f>
        <v>#VALUE!</v>
      </c>
      <c r="K1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VAN-INFOCAST-NDW-DEN-EPD-DLY</v>
      </c>
      <c r="L19" s="28" t="s">
        <v>1085</v>
      </c>
      <c r="M19" s="27" t="s">
        <v>1085</v>
      </c>
      <c r="N19" s="36" t="str">
        <f>IF(ReloadStatusTable[[#This Row],[DWH Infocast Jobname]]="N/A","N/A",IF(ReloadStatusTable[[#This Row],[DWH Infocast File Actual Delivery Time (MT)]]="","not delivered yet","Delivered"))</f>
        <v>not delivered yet</v>
      </c>
      <c r="O1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9" s="29" t="e">
        <f>ReloadStatusTable[[#This Row],[DWH Infocast File Actual Delivery Time (MT)]] + 1/24</f>
        <v>#VALUE!</v>
      </c>
      <c r="Q19" s="52"/>
    </row>
    <row r="20" spans="1:17" ht="26.25" customHeight="1" x14ac:dyDescent="0.3">
      <c r="A20" s="49" t="s">
        <v>369</v>
      </c>
      <c r="B20" s="6" t="s">
        <v>1096</v>
      </c>
      <c r="C20" s="6" t="s">
        <v>1097</v>
      </c>
      <c r="D20" s="58" t="str">
        <f>_xlfn.TEXTJOIN("",TRUE, "VIP",ReloadStatusTable[[#This Row],[Abbreviation]],"T")</f>
        <v>VIPEPDT</v>
      </c>
      <c r="E20" s="6" t="s">
        <v>1098</v>
      </c>
      <c r="F20" s="7">
        <v>44238.895833333336</v>
      </c>
      <c r="G20" s="61">
        <f>ReloadStatusTable[[#This Row],[Forecasted Reload Completion Time (MT)]]+1/24</f>
        <v>44238.9375</v>
      </c>
      <c r="H20" s="35" t="str">
        <f>IF(ReloadStatusTable[[#This Row],[Actual Completion time (MT)]]="","not done yet","Complete")</f>
        <v>not done yet</v>
      </c>
      <c r="I20" s="7" t="str">
        <f>_xlfn.XLOOKUP(CONCATENATE(ReloadStatusTable[[#This Row],[Table]],TEXT(Process_Date,"yyyy-mm-dd")),'Daily_Completion Status'!F:F,'Daily_Completion Status'!H:H,"",0)</f>
        <v/>
      </c>
      <c r="J20" s="74" t="e">
        <f>ReloadStatusTable[[#This Row],[Actual Completion time (MT)]]+1/24</f>
        <v>#VALUE!</v>
      </c>
      <c r="K2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VAN-INFOCAST-NDW-SLC-EPD-DLY</v>
      </c>
      <c r="L20" s="28" t="s">
        <v>1085</v>
      </c>
      <c r="M20" s="27" t="s">
        <v>1085</v>
      </c>
      <c r="N20" s="36" t="str">
        <f>IF(ReloadStatusTable[[#This Row],[DWH Infocast Jobname]]="N/A","N/A",IF(ReloadStatusTable[[#This Row],[DWH Infocast File Actual Delivery Time (MT)]]="","not delivered yet","Delivered"))</f>
        <v>not delivered yet</v>
      </c>
      <c r="O2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0" s="29" t="e">
        <f>ReloadStatusTable[[#This Row],[DWH Infocast File Actual Delivery Time (MT)]] + 1/24</f>
        <v>#VALUE!</v>
      </c>
      <c r="Q20" s="52"/>
    </row>
    <row r="21" spans="1:17" ht="26.25" customHeight="1" x14ac:dyDescent="0.3">
      <c r="A21" s="49" t="s">
        <v>489</v>
      </c>
      <c r="B21" s="6" t="s">
        <v>1096</v>
      </c>
      <c r="C21" s="6" t="s">
        <v>1097</v>
      </c>
      <c r="D21" s="58" t="str">
        <f>_xlfn.TEXTJOIN("",TRUE, "VIP",ReloadStatusTable[[#This Row],[Abbreviation]],"T")</f>
        <v>VIPEPDT</v>
      </c>
      <c r="E21" s="6" t="s">
        <v>1098</v>
      </c>
      <c r="F21" s="7">
        <v>44238.895833333336</v>
      </c>
      <c r="G21" s="61">
        <f>ReloadStatusTable[[#This Row],[Forecasted Reload Completion Time (MT)]]+1/24</f>
        <v>44238.9375</v>
      </c>
      <c r="H21" s="35" t="str">
        <f>IF(ReloadStatusTable[[#This Row],[Actual Completion time (MT)]]="","not done yet","Complete")</f>
        <v>not done yet</v>
      </c>
      <c r="I21" s="7" t="str">
        <f>_xlfn.XLOOKUP(CONCATENATE(ReloadStatusTable[[#This Row],[Table]],TEXT(Process_Date,"yyyy-mm-dd")),'Daily_Completion Status'!F:F,'Daily_Completion Status'!H:H,"",0)</f>
        <v/>
      </c>
      <c r="J21" s="74" t="e">
        <f>ReloadStatusTable[[#This Row],[Actual Completion time (MT)]]+1/24</f>
        <v>#VALUE!</v>
      </c>
      <c r="K2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VAN-INFOCAST-NDW-WOM-EPD-DLY</v>
      </c>
      <c r="L21" s="28" t="s">
        <v>1085</v>
      </c>
      <c r="M21" s="27" t="s">
        <v>1085</v>
      </c>
      <c r="N21" s="36" t="str">
        <f>IF(ReloadStatusTable[[#This Row],[DWH Infocast Jobname]]="N/A","N/A",IF(ReloadStatusTable[[#This Row],[DWH Infocast File Actual Delivery Time (MT)]]="","not delivered yet","Delivered"))</f>
        <v>not delivered yet</v>
      </c>
      <c r="O2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1" s="29" t="e">
        <f>ReloadStatusTable[[#This Row],[DWH Infocast File Actual Delivery Time (MT)]] + 1/24</f>
        <v>#VALUE!</v>
      </c>
      <c r="Q21" s="52"/>
    </row>
    <row r="22" spans="1:17" ht="26.25" customHeight="1" x14ac:dyDescent="0.3">
      <c r="A22" s="56" t="s">
        <v>8</v>
      </c>
      <c r="B22" s="6" t="s">
        <v>1099</v>
      </c>
      <c r="C22" s="6" t="s">
        <v>1100</v>
      </c>
      <c r="D22" s="57" t="str">
        <f>_xlfn.TEXTJOIN("",TRUE, "VIP",ReloadStatusTable[[#This Row],[Abbreviation]],"T")</f>
        <v>VIPOAJT</v>
      </c>
      <c r="E22" s="6" t="s">
        <v>1101</v>
      </c>
      <c r="F22" s="7">
        <v>44238.895833333336</v>
      </c>
      <c r="G22" s="61">
        <f>ReloadStatusTable[[#This Row],[Forecasted Reload Completion Time (MT)]]+1/24</f>
        <v>44238.9375</v>
      </c>
      <c r="H22" s="35" t="str">
        <f>IF(ReloadStatusTable[[#This Row],[Actual Completion time (MT)]]="","not done yet","Complete")</f>
        <v>not done yet</v>
      </c>
      <c r="I22" s="7" t="str">
        <f>_xlfn.XLOOKUP(CONCATENATE(ReloadStatusTable[[#This Row],[Table]],TEXT(Process_Date,"yyyy-mm-dd")),'Daily_Completion Status'!F:F,'Daily_Completion Status'!H:H,"",0)</f>
        <v/>
      </c>
      <c r="J22" s="74" t="e">
        <f>ReloadStatusTable[[#This Row],[Actual Completion time (MT)]]+1/24</f>
        <v>#VALUE!</v>
      </c>
      <c r="K22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VAN-INFOCAST-NDW-DEN-OAJ-DLY</v>
      </c>
      <c r="L22" s="28" t="s">
        <v>1085</v>
      </c>
      <c r="M22" s="27" t="s">
        <v>1085</v>
      </c>
      <c r="N22" s="36" t="str">
        <f>IF(ReloadStatusTable[[#This Row],[DWH Infocast Jobname]]="N/A","N/A",IF(ReloadStatusTable[[#This Row],[DWH Infocast File Actual Delivery Time (MT)]]="","not delivered yet","Delivered"))</f>
        <v>not delivered yet</v>
      </c>
      <c r="O22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2" s="29" t="e">
        <f>ReloadStatusTable[[#This Row],[DWH Infocast File Actual Delivery Time (MT)]] + 1/24</f>
        <v>#VALUE!</v>
      </c>
      <c r="Q22" s="52"/>
    </row>
    <row r="23" spans="1:17" ht="26.25" customHeight="1" x14ac:dyDescent="0.3">
      <c r="A23" s="49" t="s">
        <v>369</v>
      </c>
      <c r="B23" s="6" t="s">
        <v>1099</v>
      </c>
      <c r="C23" s="6" t="s">
        <v>1100</v>
      </c>
      <c r="D23" s="58" t="str">
        <f>_xlfn.TEXTJOIN("",TRUE, "VIP",ReloadStatusTable[[#This Row],[Abbreviation]],"T")</f>
        <v>VIPOAJT</v>
      </c>
      <c r="E23" s="6" t="s">
        <v>1101</v>
      </c>
      <c r="F23" s="7">
        <v>44238.895833333336</v>
      </c>
      <c r="G23" s="61">
        <f>ReloadStatusTable[[#This Row],[Forecasted Reload Completion Time (MT)]]+1/24</f>
        <v>44238.9375</v>
      </c>
      <c r="H23" s="35" t="str">
        <f>IF(ReloadStatusTable[[#This Row],[Actual Completion time (MT)]]="","not done yet","Complete")</f>
        <v>not done yet</v>
      </c>
      <c r="I23" s="7" t="str">
        <f>_xlfn.XLOOKUP(CONCATENATE(ReloadStatusTable[[#This Row],[Table]],TEXT(Process_Date,"yyyy-mm-dd")),'Daily_Completion Status'!F:F,'Daily_Completion Status'!H:H,"",0)</f>
        <v/>
      </c>
      <c r="J23" s="74" t="e">
        <f>ReloadStatusTable[[#This Row],[Actual Completion time (MT)]]+1/24</f>
        <v>#VALUE!</v>
      </c>
      <c r="K2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VAN-INFOCAST-NDW-SLC-OAJ-DLY</v>
      </c>
      <c r="L23" s="28" t="s">
        <v>1085</v>
      </c>
      <c r="M23" s="27" t="s">
        <v>1085</v>
      </c>
      <c r="N23" s="36" t="str">
        <f>IF(ReloadStatusTable[[#This Row],[DWH Infocast Jobname]]="N/A","N/A",IF(ReloadStatusTable[[#This Row],[DWH Infocast File Actual Delivery Time (MT)]]="","not delivered yet","Delivered"))</f>
        <v>not delivered yet</v>
      </c>
      <c r="O2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3" s="29" t="e">
        <f>ReloadStatusTable[[#This Row],[DWH Infocast File Actual Delivery Time (MT)]] + 1/24</f>
        <v>#VALUE!</v>
      </c>
      <c r="Q23" s="78"/>
    </row>
    <row r="24" spans="1:17" ht="26.25" customHeight="1" x14ac:dyDescent="0.3">
      <c r="A24" s="49" t="s">
        <v>489</v>
      </c>
      <c r="B24" s="6" t="s">
        <v>1099</v>
      </c>
      <c r="C24" s="6" t="s">
        <v>1100</v>
      </c>
      <c r="D24" s="58" t="str">
        <f>_xlfn.TEXTJOIN("",TRUE, "VIP",ReloadStatusTable[[#This Row],[Abbreviation]],"T")</f>
        <v>VIPOAJT</v>
      </c>
      <c r="E24" s="6" t="s">
        <v>1101</v>
      </c>
      <c r="F24" s="7">
        <v>44238.895833333336</v>
      </c>
      <c r="G24" s="61">
        <f>ReloadStatusTable[[#This Row],[Forecasted Reload Completion Time (MT)]]+1/24</f>
        <v>44238.9375</v>
      </c>
      <c r="H24" s="35" t="str">
        <f>IF(ReloadStatusTable[[#This Row],[Actual Completion time (MT)]]="","not done yet","Complete")</f>
        <v>not done yet</v>
      </c>
      <c r="I24" s="7" t="str">
        <f>_xlfn.XLOOKUP(CONCATENATE(ReloadStatusTable[[#This Row],[Table]],TEXT(Process_Date,"yyyy-mm-dd")),'Daily_Completion Status'!F:F,'Daily_Completion Status'!H:H,"",0)</f>
        <v/>
      </c>
      <c r="J24" s="74" t="e">
        <f>ReloadStatusTable[[#This Row],[Actual Completion time (MT)]]+1/24</f>
        <v>#VALUE!</v>
      </c>
      <c r="K2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VAN-INFOCAST-NDW-WOM-OAJ-DLY</v>
      </c>
      <c r="L24" s="28" t="s">
        <v>1085</v>
      </c>
      <c r="M24" s="27" t="s">
        <v>1085</v>
      </c>
      <c r="N24" s="36" t="str">
        <f>IF(ReloadStatusTable[[#This Row],[DWH Infocast Jobname]]="N/A","N/A",IF(ReloadStatusTable[[#This Row],[DWH Infocast File Actual Delivery Time (MT)]]="","not delivered yet","Delivered"))</f>
        <v>not delivered yet</v>
      </c>
      <c r="O2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4" s="29" t="e">
        <f>ReloadStatusTable[[#This Row],[DWH Infocast File Actual Delivery Time (MT)]] + 1/24</f>
        <v>#VALUE!</v>
      </c>
      <c r="Q24" s="52"/>
    </row>
    <row r="25" spans="1:17" ht="26.25" customHeight="1" x14ac:dyDescent="0.3">
      <c r="A25" s="56" t="s">
        <v>8</v>
      </c>
      <c r="B25" s="6" t="s">
        <v>1099</v>
      </c>
      <c r="C25" s="6" t="s">
        <v>1102</v>
      </c>
      <c r="D25" s="57" t="str">
        <f>_xlfn.TEXTJOIN("",TRUE, "VIP",ReloadStatusTable[[#This Row],[Abbreviation]],"T")</f>
        <v>VIPOAOT</v>
      </c>
      <c r="E25" s="6" t="s">
        <v>1103</v>
      </c>
      <c r="F25" s="7">
        <v>44238.895833333336</v>
      </c>
      <c r="G25" s="61">
        <f>ReloadStatusTable[[#This Row],[Forecasted Reload Completion Time (MT)]]+1/24</f>
        <v>44238.9375</v>
      </c>
      <c r="H25" s="35" t="str">
        <f>IF(ReloadStatusTable[[#This Row],[Actual Completion time (MT)]]="","not done yet","Complete")</f>
        <v>not done yet</v>
      </c>
      <c r="I25" s="7" t="str">
        <f>_xlfn.XLOOKUP(CONCATENATE(ReloadStatusTable[[#This Row],[Table]],TEXT(Process_Date,"yyyy-mm-dd")),'Daily_Completion Status'!F:F,'Daily_Completion Status'!H:H,"",0)</f>
        <v/>
      </c>
      <c r="J25" s="74" t="e">
        <f>ReloadStatusTable[[#This Row],[Actual Completion time (MT)]]+1/24</f>
        <v>#VALUE!</v>
      </c>
      <c r="K2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VAN-INFOCAST-NDW-DEN-OAO-DLY</v>
      </c>
      <c r="L25" s="28" t="s">
        <v>1085</v>
      </c>
      <c r="M25" s="27" t="s">
        <v>1085</v>
      </c>
      <c r="N25" s="36" t="str">
        <f>IF(ReloadStatusTable[[#This Row],[DWH Infocast Jobname]]="N/A","N/A",IF(ReloadStatusTable[[#This Row],[DWH Infocast File Actual Delivery Time (MT)]]="","not delivered yet","Delivered"))</f>
        <v>not delivered yet</v>
      </c>
      <c r="O2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5" s="29" t="e">
        <f>ReloadStatusTable[[#This Row],[DWH Infocast File Actual Delivery Time (MT)]] + 1/24</f>
        <v>#VALUE!</v>
      </c>
      <c r="Q25" s="52"/>
    </row>
    <row r="26" spans="1:17" ht="26.25" customHeight="1" x14ac:dyDescent="0.3">
      <c r="A26" s="49" t="s">
        <v>369</v>
      </c>
      <c r="B26" s="6" t="s">
        <v>1099</v>
      </c>
      <c r="C26" s="6" t="s">
        <v>1102</v>
      </c>
      <c r="D26" s="58" t="str">
        <f>_xlfn.TEXTJOIN("",TRUE, "VIP",ReloadStatusTable[[#This Row],[Abbreviation]],"T")</f>
        <v>VIPOAOT</v>
      </c>
      <c r="E26" s="6" t="s">
        <v>1103</v>
      </c>
      <c r="F26" s="7">
        <v>44238.895833333336</v>
      </c>
      <c r="G26" s="61">
        <f>ReloadStatusTable[[#This Row],[Forecasted Reload Completion Time (MT)]]+1/24</f>
        <v>44238.9375</v>
      </c>
      <c r="H26" s="35" t="str">
        <f>IF(ReloadStatusTable[[#This Row],[Actual Completion time (MT)]]="","not done yet","Complete")</f>
        <v>not done yet</v>
      </c>
      <c r="I26" s="7" t="str">
        <f>_xlfn.XLOOKUP(CONCATENATE(ReloadStatusTable[[#This Row],[Table]],TEXT(Process_Date,"yyyy-mm-dd")),'Daily_Completion Status'!F:F,'Daily_Completion Status'!H:H,"",0)</f>
        <v/>
      </c>
      <c r="J26" s="74" t="e">
        <f>ReloadStatusTable[[#This Row],[Actual Completion time (MT)]]+1/24</f>
        <v>#VALUE!</v>
      </c>
      <c r="K2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VAN-INFOCAST-NDW-SLC-OAO-DLY</v>
      </c>
      <c r="L26" s="28" t="s">
        <v>1085</v>
      </c>
      <c r="M26" s="27" t="s">
        <v>1085</v>
      </c>
      <c r="N26" s="36" t="str">
        <f>IF(ReloadStatusTable[[#This Row],[DWH Infocast Jobname]]="N/A","N/A",IF(ReloadStatusTable[[#This Row],[DWH Infocast File Actual Delivery Time (MT)]]="","not delivered yet","Delivered"))</f>
        <v>not delivered yet</v>
      </c>
      <c r="O2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6" s="29" t="e">
        <f>ReloadStatusTable[[#This Row],[DWH Infocast File Actual Delivery Time (MT)]] + 1/24</f>
        <v>#VALUE!</v>
      </c>
      <c r="Q26" s="52"/>
    </row>
    <row r="27" spans="1:17" ht="26.25" customHeight="1" x14ac:dyDescent="0.3">
      <c r="A27" s="49" t="s">
        <v>489</v>
      </c>
      <c r="B27" s="6" t="s">
        <v>1099</v>
      </c>
      <c r="C27" s="6" t="s">
        <v>1102</v>
      </c>
      <c r="D27" s="58" t="str">
        <f>_xlfn.TEXTJOIN("",TRUE, "VIP",ReloadStatusTable[[#This Row],[Abbreviation]],"T")</f>
        <v>VIPOAOT</v>
      </c>
      <c r="E27" s="6" t="s">
        <v>1103</v>
      </c>
      <c r="F27" s="7">
        <v>44238.895833333336</v>
      </c>
      <c r="G27" s="61">
        <f>ReloadStatusTable[[#This Row],[Forecasted Reload Completion Time (MT)]]+1/24</f>
        <v>44238.9375</v>
      </c>
      <c r="H27" s="35" t="str">
        <f>IF(ReloadStatusTable[[#This Row],[Actual Completion time (MT)]]="","not done yet","Complete")</f>
        <v>not done yet</v>
      </c>
      <c r="I27" s="7" t="str">
        <f>_xlfn.XLOOKUP(CONCATENATE(ReloadStatusTable[[#This Row],[Table]],TEXT(Process_Date,"yyyy-mm-dd")),'Daily_Completion Status'!F:F,'Daily_Completion Status'!H:H,"",0)</f>
        <v/>
      </c>
      <c r="J27" s="74" t="e">
        <f>ReloadStatusTable[[#This Row],[Actual Completion time (MT)]]+1/24</f>
        <v>#VALUE!</v>
      </c>
      <c r="K2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VAN-INFOCAST-NDW-WOM-OAO-DLY</v>
      </c>
      <c r="L27" s="28" t="s">
        <v>1085</v>
      </c>
      <c r="M27" s="27" t="s">
        <v>1085</v>
      </c>
      <c r="N27" s="36" t="str">
        <f>IF(ReloadStatusTable[[#This Row],[DWH Infocast Jobname]]="N/A","N/A",IF(ReloadStatusTable[[#This Row],[DWH Infocast File Actual Delivery Time (MT)]]="","not delivered yet","Delivered"))</f>
        <v>not delivered yet</v>
      </c>
      <c r="O2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7" s="29" t="e">
        <f>ReloadStatusTable[[#This Row],[DWH Infocast File Actual Delivery Time (MT)]] + 1/24</f>
        <v>#VALUE!</v>
      </c>
      <c r="Q27" s="52"/>
    </row>
    <row r="28" spans="1:17" ht="26.25" customHeight="1" x14ac:dyDescent="0.3">
      <c r="A28" s="56" t="s">
        <v>8</v>
      </c>
      <c r="B28" s="6" t="s">
        <v>1104</v>
      </c>
      <c r="C28" s="6" t="s">
        <v>1105</v>
      </c>
      <c r="D28" s="57" t="str">
        <f>_xlfn.TEXTJOIN("",TRUE, "VIP",ReloadStatusTable[[#This Row],[Abbreviation]],"T")</f>
        <v>VIPEVBT</v>
      </c>
      <c r="E28" s="6" t="s">
        <v>1106</v>
      </c>
      <c r="F28" s="7">
        <v>44238.895833333336</v>
      </c>
      <c r="G28" s="61">
        <f>ReloadStatusTable[[#This Row],[Forecasted Reload Completion Time (MT)]]+1/24</f>
        <v>44238.9375</v>
      </c>
      <c r="H28" s="35" t="str">
        <f>IF(ReloadStatusTable[[#This Row],[Actual Completion time (MT)]]="","not done yet","Complete")</f>
        <v>not done yet</v>
      </c>
      <c r="I28" s="7" t="str">
        <f>_xlfn.XLOOKUP(CONCATENATE(ReloadStatusTable[[#This Row],[Table]],TEXT(Process_Date,"yyyy-mm-dd")),'Daily_Completion Status'!F:F,'Daily_Completion Status'!H:H,"",0)</f>
        <v/>
      </c>
      <c r="J28" s="74" t="e">
        <f>ReloadStatusTable[[#This Row],[Actual Completion time (MT)]]+1/24</f>
        <v>#VALUE!</v>
      </c>
      <c r="K2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VAN-INFOCAST-NDW-DEN-EVB-DLY</v>
      </c>
      <c r="L28" s="28" t="s">
        <v>1085</v>
      </c>
      <c r="M28" s="27" t="s">
        <v>1085</v>
      </c>
      <c r="N28" s="36" t="str">
        <f>IF(ReloadStatusTable[[#This Row],[DWH Infocast Jobname]]="N/A","N/A",IF(ReloadStatusTable[[#This Row],[DWH Infocast File Actual Delivery Time (MT)]]="","not delivered yet","Delivered"))</f>
        <v>not delivered yet</v>
      </c>
      <c r="O2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8" s="29" t="e">
        <f>ReloadStatusTable[[#This Row],[DWH Infocast File Actual Delivery Time (MT)]] + 1/24</f>
        <v>#VALUE!</v>
      </c>
      <c r="Q28" s="52"/>
    </row>
    <row r="29" spans="1:17" ht="26.25" customHeight="1" x14ac:dyDescent="0.3">
      <c r="A29" s="49" t="s">
        <v>369</v>
      </c>
      <c r="B29" s="6" t="s">
        <v>1104</v>
      </c>
      <c r="C29" s="6" t="s">
        <v>1105</v>
      </c>
      <c r="D29" s="58" t="str">
        <f>_xlfn.TEXTJOIN("",TRUE, "VIP",ReloadStatusTable[[#This Row],[Abbreviation]],"T")</f>
        <v>VIPEVBT</v>
      </c>
      <c r="E29" s="6" t="s">
        <v>1106</v>
      </c>
      <c r="F29" s="7">
        <v>44238.895833333336</v>
      </c>
      <c r="G29" s="61">
        <f>ReloadStatusTable[[#This Row],[Forecasted Reload Completion Time (MT)]]+1/24</f>
        <v>44238.9375</v>
      </c>
      <c r="H29" s="35" t="str">
        <f>IF(ReloadStatusTable[[#This Row],[Actual Completion time (MT)]]="","not done yet","Complete")</f>
        <v>not done yet</v>
      </c>
      <c r="I29" s="7" t="str">
        <f>_xlfn.XLOOKUP(CONCATENATE(ReloadStatusTable[[#This Row],[Table]],TEXT(Process_Date,"yyyy-mm-dd")),'Daily_Completion Status'!F:F,'Daily_Completion Status'!H:H,"",0)</f>
        <v/>
      </c>
      <c r="J29" s="74" t="e">
        <f>ReloadStatusTable[[#This Row],[Actual Completion time (MT)]]+1/24</f>
        <v>#VALUE!</v>
      </c>
      <c r="K2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VAN-INFOCAST-NDW-SLC-EVB-DLY</v>
      </c>
      <c r="L29" s="28" t="s">
        <v>1085</v>
      </c>
      <c r="M29" s="27" t="s">
        <v>1085</v>
      </c>
      <c r="N29" s="36" t="str">
        <f>IF(ReloadStatusTable[[#This Row],[DWH Infocast Jobname]]="N/A","N/A",IF(ReloadStatusTable[[#This Row],[DWH Infocast File Actual Delivery Time (MT)]]="","not delivered yet","Delivered"))</f>
        <v>not delivered yet</v>
      </c>
      <c r="O2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29" s="29" t="e">
        <f>ReloadStatusTable[[#This Row],[DWH Infocast File Actual Delivery Time (MT)]] + 1/24</f>
        <v>#VALUE!</v>
      </c>
      <c r="Q29" s="52"/>
    </row>
    <row r="30" spans="1:17" ht="26.25" customHeight="1" x14ac:dyDescent="0.3">
      <c r="A30" s="49" t="s">
        <v>489</v>
      </c>
      <c r="B30" s="6" t="s">
        <v>1104</v>
      </c>
      <c r="C30" s="6" t="s">
        <v>1105</v>
      </c>
      <c r="D30" s="58" t="str">
        <f>_xlfn.TEXTJOIN("",TRUE, "VIP",ReloadStatusTable[[#This Row],[Abbreviation]],"T")</f>
        <v>VIPEVBT</v>
      </c>
      <c r="E30" s="6" t="s">
        <v>1106</v>
      </c>
      <c r="F30" s="7">
        <v>44238.895833333336</v>
      </c>
      <c r="G30" s="61">
        <f>ReloadStatusTable[[#This Row],[Forecasted Reload Completion Time (MT)]]+1/24</f>
        <v>44238.9375</v>
      </c>
      <c r="H30" s="35" t="str">
        <f>IF(ReloadStatusTable[[#This Row],[Actual Completion time (MT)]]="","not done yet","Complete")</f>
        <v>not done yet</v>
      </c>
      <c r="I30" s="7" t="str">
        <f>_xlfn.XLOOKUP(CONCATENATE(ReloadStatusTable[[#This Row],[Table]],TEXT(Process_Date,"yyyy-mm-dd")),'Daily_Completion Status'!F:F,'Daily_Completion Status'!H:H,"",0)</f>
        <v/>
      </c>
      <c r="J30" s="74" t="e">
        <f>ReloadStatusTable[[#This Row],[Actual Completion time (MT)]]+1/24</f>
        <v>#VALUE!</v>
      </c>
      <c r="K3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VAN-INFOCAST-NDW-WOM-EVB-DLY</v>
      </c>
      <c r="L30" s="28" t="s">
        <v>1085</v>
      </c>
      <c r="M30" s="27" t="s">
        <v>1085</v>
      </c>
      <c r="N30" s="36" t="str">
        <f>IF(ReloadStatusTable[[#This Row],[DWH Infocast Jobname]]="N/A","N/A",IF(ReloadStatusTable[[#This Row],[DWH Infocast File Actual Delivery Time (MT)]]="","not delivered yet","Delivered"))</f>
        <v>not delivered yet</v>
      </c>
      <c r="O3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0" s="29" t="e">
        <f>ReloadStatusTable[[#This Row],[DWH Infocast File Actual Delivery Time (MT)]] + 1/24</f>
        <v>#VALUE!</v>
      </c>
      <c r="Q30" s="52"/>
    </row>
    <row r="31" spans="1:17" ht="26.25" customHeight="1" x14ac:dyDescent="0.3">
      <c r="A31" s="56" t="s">
        <v>8</v>
      </c>
      <c r="B31" s="6" t="s">
        <v>1104</v>
      </c>
      <c r="C31" s="6" t="s">
        <v>1107</v>
      </c>
      <c r="D31" s="57" t="str">
        <f>_xlfn.TEXTJOIN("",TRUE, "VIP",ReloadStatusTable[[#This Row],[Abbreviation]],"T")</f>
        <v>VIPEVDT</v>
      </c>
      <c r="E31" s="6" t="s">
        <v>1108</v>
      </c>
      <c r="F31" s="7">
        <v>44238.895833333336</v>
      </c>
      <c r="G31" s="61">
        <f>ReloadStatusTable[[#This Row],[Forecasted Reload Completion Time (MT)]]+1/24</f>
        <v>44238.9375</v>
      </c>
      <c r="H31" s="35" t="str">
        <f>IF(ReloadStatusTable[[#This Row],[Actual Completion time (MT)]]="","not done yet","Complete")</f>
        <v>not done yet</v>
      </c>
      <c r="I31" s="7" t="str">
        <f>_xlfn.XLOOKUP(CONCATENATE(ReloadStatusTable[[#This Row],[Table]],TEXT(Process_Date,"yyyy-mm-dd")),'Daily_Completion Status'!F:F,'Daily_Completion Status'!H:H,"",0)</f>
        <v/>
      </c>
      <c r="J31" s="74" t="e">
        <f>ReloadStatusTable[[#This Row],[Actual Completion time (MT)]]+1/24</f>
        <v>#VALUE!</v>
      </c>
      <c r="K3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VAN-INFOCAST-NDW-DEN-EVD-DLY</v>
      </c>
      <c r="L31" s="28" t="s">
        <v>1085</v>
      </c>
      <c r="M31" s="27" t="s">
        <v>1085</v>
      </c>
      <c r="N31" s="36" t="str">
        <f>IF(ReloadStatusTable[[#This Row],[DWH Infocast Jobname]]="N/A","N/A",IF(ReloadStatusTable[[#This Row],[DWH Infocast File Actual Delivery Time (MT)]]="","not delivered yet","Delivered"))</f>
        <v>not delivered yet</v>
      </c>
      <c r="O3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1" s="29" t="e">
        <f>ReloadStatusTable[[#This Row],[DWH Infocast File Actual Delivery Time (MT)]] + 1/24</f>
        <v>#VALUE!</v>
      </c>
      <c r="Q31" s="52"/>
    </row>
    <row r="32" spans="1:17" ht="26.25" customHeight="1" x14ac:dyDescent="0.3">
      <c r="A32" s="49" t="s">
        <v>369</v>
      </c>
      <c r="B32" s="6" t="s">
        <v>1104</v>
      </c>
      <c r="C32" s="6" t="s">
        <v>1107</v>
      </c>
      <c r="D32" s="58" t="str">
        <f>_xlfn.TEXTJOIN("",TRUE, "VIP",ReloadStatusTable[[#This Row],[Abbreviation]],"T")</f>
        <v>VIPEVDT</v>
      </c>
      <c r="E32" s="6" t="s">
        <v>1108</v>
      </c>
      <c r="F32" s="7">
        <v>44238.895833333336</v>
      </c>
      <c r="G32" s="61">
        <f>ReloadStatusTable[[#This Row],[Forecasted Reload Completion Time (MT)]]+1/24</f>
        <v>44238.9375</v>
      </c>
      <c r="H32" s="35" t="str">
        <f>IF(ReloadStatusTable[[#This Row],[Actual Completion time (MT)]]="","not done yet","Complete")</f>
        <v>not done yet</v>
      </c>
      <c r="I32" s="7" t="str">
        <f>_xlfn.XLOOKUP(CONCATENATE(ReloadStatusTable[[#This Row],[Table]],TEXT(Process_Date,"yyyy-mm-dd")),'Daily_Completion Status'!F:F,'Daily_Completion Status'!H:H,"",0)</f>
        <v/>
      </c>
      <c r="J32" s="74" t="e">
        <f>ReloadStatusTable[[#This Row],[Actual Completion time (MT)]]+1/24</f>
        <v>#VALUE!</v>
      </c>
      <c r="K32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VAN-INFOCAST-NDW-SLC-EVD-DLY</v>
      </c>
      <c r="L32" s="28" t="s">
        <v>1085</v>
      </c>
      <c r="M32" s="27" t="s">
        <v>1085</v>
      </c>
      <c r="N32" s="36" t="str">
        <f>IF(ReloadStatusTable[[#This Row],[DWH Infocast Jobname]]="N/A","N/A",IF(ReloadStatusTable[[#This Row],[DWH Infocast File Actual Delivery Time (MT)]]="","not delivered yet","Delivered"))</f>
        <v>not delivered yet</v>
      </c>
      <c r="O32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2" s="29" t="e">
        <f>ReloadStatusTable[[#This Row],[DWH Infocast File Actual Delivery Time (MT)]] + 1/24</f>
        <v>#VALUE!</v>
      </c>
      <c r="Q32" s="52"/>
    </row>
    <row r="33" spans="1:20" ht="26.25" customHeight="1" x14ac:dyDescent="0.3">
      <c r="A33" s="49" t="s">
        <v>489</v>
      </c>
      <c r="B33" s="6" t="s">
        <v>1104</v>
      </c>
      <c r="C33" s="6" t="s">
        <v>1107</v>
      </c>
      <c r="D33" s="58" t="str">
        <f>_xlfn.TEXTJOIN("",TRUE, "VIP",ReloadStatusTable[[#This Row],[Abbreviation]],"T")</f>
        <v>VIPEVDT</v>
      </c>
      <c r="E33" s="6" t="s">
        <v>1108</v>
      </c>
      <c r="F33" s="7">
        <v>44238.895833333336</v>
      </c>
      <c r="G33" s="61">
        <f>ReloadStatusTable[[#This Row],[Forecasted Reload Completion Time (MT)]]+1/24</f>
        <v>44238.9375</v>
      </c>
      <c r="H33" s="35" t="str">
        <f>IF(ReloadStatusTable[[#This Row],[Actual Completion time (MT)]]="","not done yet","Complete")</f>
        <v>not done yet</v>
      </c>
      <c r="I33" s="7" t="str">
        <f>_xlfn.XLOOKUP(CONCATENATE(ReloadStatusTable[[#This Row],[Table]],TEXT(Process_Date,"yyyy-mm-dd")),'Daily_Completion Status'!F:F,'Daily_Completion Status'!H:H,"",0)</f>
        <v/>
      </c>
      <c r="J33" s="74" t="e">
        <f>ReloadStatusTable[[#This Row],[Actual Completion time (MT)]]+1/24</f>
        <v>#VALUE!</v>
      </c>
      <c r="K3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VAN-INFOCAST-NDW-WOM-EVD-DLY</v>
      </c>
      <c r="L33" s="28" t="s">
        <v>1085</v>
      </c>
      <c r="M33" s="27" t="s">
        <v>1085</v>
      </c>
      <c r="N33" s="36" t="str">
        <f>IF(ReloadStatusTable[[#This Row],[DWH Infocast Jobname]]="N/A","N/A",IF(ReloadStatusTable[[#This Row],[DWH Infocast File Actual Delivery Time (MT)]]="","not delivered yet","Delivered"))</f>
        <v>not delivered yet</v>
      </c>
      <c r="O3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3" s="29" t="e">
        <f>ReloadStatusTable[[#This Row],[DWH Infocast File Actual Delivery Time (MT)]] + 1/24</f>
        <v>#VALUE!</v>
      </c>
      <c r="Q33" s="52"/>
    </row>
    <row r="34" spans="1:20" ht="26.25" customHeight="1" x14ac:dyDescent="0.3">
      <c r="A34" s="56" t="s">
        <v>8</v>
      </c>
      <c r="B34" s="6" t="s">
        <v>1104</v>
      </c>
      <c r="C34" s="6" t="s">
        <v>1109</v>
      </c>
      <c r="D34" s="57" t="str">
        <f>_xlfn.TEXTJOIN("",TRUE, "VIP",ReloadStatusTable[[#This Row],[Abbreviation]],"T")</f>
        <v>VIPEVPT</v>
      </c>
      <c r="E34" s="6" t="s">
        <v>1110</v>
      </c>
      <c r="F34" s="7">
        <v>44238.895833333336</v>
      </c>
      <c r="G34" s="61">
        <f>ReloadStatusTable[[#This Row],[Forecasted Reload Completion Time (MT)]]+1/24</f>
        <v>44238.9375</v>
      </c>
      <c r="H34" s="35" t="str">
        <f>IF(ReloadStatusTable[[#This Row],[Actual Completion time (MT)]]="","not done yet","Complete")</f>
        <v>not done yet</v>
      </c>
      <c r="I34" s="7" t="str">
        <f>_xlfn.XLOOKUP(CONCATENATE(ReloadStatusTable[[#This Row],[Table]],TEXT(Process_Date,"yyyy-mm-dd")),'Daily_Completion Status'!F:F,'Daily_Completion Status'!H:H,"",0)</f>
        <v/>
      </c>
      <c r="J34" s="74" t="e">
        <f>ReloadStatusTable[[#This Row],[Actual Completion time (MT)]]+1/24</f>
        <v>#VALUE!</v>
      </c>
      <c r="K3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VAN-INFOCAST-NDW-DEN-EVP-DLY</v>
      </c>
      <c r="L34" s="28" t="s">
        <v>1085</v>
      </c>
      <c r="M34" s="27" t="s">
        <v>1085</v>
      </c>
      <c r="N34" s="36" t="str">
        <f>IF(ReloadStatusTable[[#This Row],[DWH Infocast Jobname]]="N/A","N/A",IF(ReloadStatusTable[[#This Row],[DWH Infocast File Actual Delivery Time (MT)]]="","not delivered yet","Delivered"))</f>
        <v>not delivered yet</v>
      </c>
      <c r="O3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4" s="29" t="e">
        <f>ReloadStatusTable[[#This Row],[DWH Infocast File Actual Delivery Time (MT)]] + 1/24</f>
        <v>#VALUE!</v>
      </c>
      <c r="Q34" s="52"/>
    </row>
    <row r="35" spans="1:20" ht="26.25" customHeight="1" x14ac:dyDescent="0.3">
      <c r="A35" s="49" t="s">
        <v>369</v>
      </c>
      <c r="B35" s="6" t="s">
        <v>1104</v>
      </c>
      <c r="C35" s="6" t="s">
        <v>1109</v>
      </c>
      <c r="D35" s="58" t="str">
        <f>_xlfn.TEXTJOIN("",TRUE, "VIP",ReloadStatusTable[[#This Row],[Abbreviation]],"T")</f>
        <v>VIPEVPT</v>
      </c>
      <c r="E35" s="6" t="s">
        <v>1110</v>
      </c>
      <c r="F35" s="7">
        <v>44238.895833333336</v>
      </c>
      <c r="G35" s="61">
        <f>ReloadStatusTable[[#This Row],[Forecasted Reload Completion Time (MT)]]+1/24</f>
        <v>44238.9375</v>
      </c>
      <c r="H35" s="35" t="str">
        <f>IF(ReloadStatusTable[[#This Row],[Actual Completion time (MT)]]="","not done yet","Complete")</f>
        <v>not done yet</v>
      </c>
      <c r="I35" s="7" t="str">
        <f>_xlfn.XLOOKUP(CONCATENATE(ReloadStatusTable[[#This Row],[Table]],TEXT(Process_Date,"yyyy-mm-dd")),'Daily_Completion Status'!F:F,'Daily_Completion Status'!H:H,"",0)</f>
        <v/>
      </c>
      <c r="J35" s="74" t="e">
        <f>ReloadStatusTable[[#This Row],[Actual Completion time (MT)]]+1/24</f>
        <v>#VALUE!</v>
      </c>
      <c r="K3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VAN-INFOCAST-NDW-SLC-EVP-DLY</v>
      </c>
      <c r="L35" s="28" t="s">
        <v>1085</v>
      </c>
      <c r="M35" s="27" t="s">
        <v>1085</v>
      </c>
      <c r="N35" s="36" t="str">
        <f>IF(ReloadStatusTable[[#This Row],[DWH Infocast Jobname]]="N/A","N/A",IF(ReloadStatusTable[[#This Row],[DWH Infocast File Actual Delivery Time (MT)]]="","not delivered yet","Delivered"))</f>
        <v>not delivered yet</v>
      </c>
      <c r="O3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5" s="29" t="e">
        <f>ReloadStatusTable[[#This Row],[DWH Infocast File Actual Delivery Time (MT)]] + 1/24</f>
        <v>#VALUE!</v>
      </c>
      <c r="Q35" s="52"/>
    </row>
    <row r="36" spans="1:20" ht="26.25" customHeight="1" x14ac:dyDescent="0.3">
      <c r="A36" s="49" t="s">
        <v>489</v>
      </c>
      <c r="B36" s="6" t="s">
        <v>1104</v>
      </c>
      <c r="C36" s="6" t="s">
        <v>1109</v>
      </c>
      <c r="D36" s="58" t="str">
        <f>_xlfn.TEXTJOIN("",TRUE, "VIP",ReloadStatusTable[[#This Row],[Abbreviation]],"T")</f>
        <v>VIPEVPT</v>
      </c>
      <c r="E36" s="6" t="s">
        <v>1110</v>
      </c>
      <c r="F36" s="7">
        <v>44238.895833333336</v>
      </c>
      <c r="G36" s="61">
        <f>ReloadStatusTable[[#This Row],[Forecasted Reload Completion Time (MT)]]+1/24</f>
        <v>44238.9375</v>
      </c>
      <c r="H36" s="35" t="str">
        <f>IF(ReloadStatusTable[[#This Row],[Actual Completion time (MT)]]="","not done yet","Complete")</f>
        <v>not done yet</v>
      </c>
      <c r="I36" s="7" t="str">
        <f>_xlfn.XLOOKUP(CONCATENATE(ReloadStatusTable[[#This Row],[Table]],TEXT(Process_Date,"yyyy-mm-dd")),'Daily_Completion Status'!F:F,'Daily_Completion Status'!H:H,"",0)</f>
        <v/>
      </c>
      <c r="J36" s="74" t="e">
        <f>ReloadStatusTable[[#This Row],[Actual Completion time (MT)]]+1/24</f>
        <v>#VALUE!</v>
      </c>
      <c r="K3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VAN-INFOCAST-NDW-WOM-EVP-DLY</v>
      </c>
      <c r="L36" s="28" t="s">
        <v>1085</v>
      </c>
      <c r="M36" s="27" t="s">
        <v>1085</v>
      </c>
      <c r="N36" s="36" t="str">
        <f>IF(ReloadStatusTable[[#This Row],[DWH Infocast Jobname]]="N/A","N/A",IF(ReloadStatusTable[[#This Row],[DWH Infocast File Actual Delivery Time (MT)]]="","not delivered yet","Delivered"))</f>
        <v>not delivered yet</v>
      </c>
      <c r="O3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6" s="29" t="e">
        <f>ReloadStatusTable[[#This Row],[DWH Infocast File Actual Delivery Time (MT)]] + 1/24</f>
        <v>#VALUE!</v>
      </c>
      <c r="Q36" s="52"/>
    </row>
    <row r="37" spans="1:20" ht="26.25" customHeight="1" x14ac:dyDescent="0.3">
      <c r="A37" s="56" t="s">
        <v>8</v>
      </c>
      <c r="B37" s="6" t="s">
        <v>1104</v>
      </c>
      <c r="C37" s="6" t="s">
        <v>1111</v>
      </c>
      <c r="D37" s="57" t="str">
        <f>_xlfn.TEXTJOIN("",TRUE, "VIP",ReloadStatusTable[[#This Row],[Abbreviation]],"T")</f>
        <v>VIPEVST</v>
      </c>
      <c r="E37" s="6" t="s">
        <v>1112</v>
      </c>
      <c r="F37" s="7">
        <v>44238.895833333336</v>
      </c>
      <c r="G37" s="61">
        <f>ReloadStatusTable[[#This Row],[Forecasted Reload Completion Time (MT)]]+1/24</f>
        <v>44238.9375</v>
      </c>
      <c r="H37" s="35" t="str">
        <f>IF(ReloadStatusTable[[#This Row],[Actual Completion time (MT)]]="","not done yet","Complete")</f>
        <v>not done yet</v>
      </c>
      <c r="I37" s="7" t="str">
        <f>_xlfn.XLOOKUP(CONCATENATE(ReloadStatusTable[[#This Row],[Table]],TEXT(Process_Date,"yyyy-mm-dd")),'Daily_Completion Status'!F:F,'Daily_Completion Status'!H:H,"",0)</f>
        <v/>
      </c>
      <c r="J37" s="74" t="e">
        <f>ReloadStatusTable[[#This Row],[Actual Completion time (MT)]]+1/24</f>
        <v>#VALUE!</v>
      </c>
      <c r="K3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VAN-INFOCAST-NDW-DEN-EVS-DLY</v>
      </c>
      <c r="L37" s="28" t="s">
        <v>1085</v>
      </c>
      <c r="M37" s="27" t="s">
        <v>1085</v>
      </c>
      <c r="N37" s="36" t="str">
        <f>IF(ReloadStatusTable[[#This Row],[DWH Infocast Jobname]]="N/A","N/A",IF(ReloadStatusTable[[#This Row],[DWH Infocast File Actual Delivery Time (MT)]]="","not delivered yet","Delivered"))</f>
        <v>not delivered yet</v>
      </c>
      <c r="O3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7" s="29" t="e">
        <f>ReloadStatusTable[[#This Row],[DWH Infocast File Actual Delivery Time (MT)]] + 1/24</f>
        <v>#VALUE!</v>
      </c>
      <c r="Q37" s="52"/>
    </row>
    <row r="38" spans="1:20" ht="26.25" customHeight="1" x14ac:dyDescent="0.3">
      <c r="A38" s="49" t="s">
        <v>369</v>
      </c>
      <c r="B38" s="6" t="s">
        <v>1104</v>
      </c>
      <c r="C38" s="6" t="s">
        <v>1111</v>
      </c>
      <c r="D38" s="58" t="str">
        <f>_xlfn.TEXTJOIN("",TRUE, "VIP",ReloadStatusTable[[#This Row],[Abbreviation]],"T")</f>
        <v>VIPEVST</v>
      </c>
      <c r="E38" s="6" t="s">
        <v>1112</v>
      </c>
      <c r="F38" s="7">
        <v>44238.895833333336</v>
      </c>
      <c r="G38" s="61">
        <f>ReloadStatusTable[[#This Row],[Forecasted Reload Completion Time (MT)]]+1/24</f>
        <v>44238.9375</v>
      </c>
      <c r="H38" s="35" t="str">
        <f>IF(ReloadStatusTable[[#This Row],[Actual Completion time (MT)]]="","not done yet","Complete")</f>
        <v>not done yet</v>
      </c>
      <c r="I38" s="7" t="str">
        <f>_xlfn.XLOOKUP(CONCATENATE(ReloadStatusTable[[#This Row],[Table]],TEXT(Process_Date,"yyyy-mm-dd")),'Daily_Completion Status'!F:F,'Daily_Completion Status'!H:H,"",0)</f>
        <v/>
      </c>
      <c r="J38" s="74" t="e">
        <f>ReloadStatusTable[[#This Row],[Actual Completion time (MT)]]+1/24</f>
        <v>#VALUE!</v>
      </c>
      <c r="K3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VAN-INFOCAST-NDW-SLC-EVS-DLY</v>
      </c>
      <c r="L38" s="28" t="s">
        <v>1085</v>
      </c>
      <c r="M38" s="27" t="s">
        <v>1085</v>
      </c>
      <c r="N38" s="36" t="str">
        <f>IF(ReloadStatusTable[[#This Row],[DWH Infocast Jobname]]="N/A","N/A",IF(ReloadStatusTable[[#This Row],[DWH Infocast File Actual Delivery Time (MT)]]="","not delivered yet","Delivered"))</f>
        <v>not delivered yet</v>
      </c>
      <c r="O3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8" s="29" t="e">
        <f>ReloadStatusTable[[#This Row],[DWH Infocast File Actual Delivery Time (MT)]] + 1/24</f>
        <v>#VALUE!</v>
      </c>
      <c r="Q38" s="52"/>
    </row>
    <row r="39" spans="1:20" ht="26.25" customHeight="1" x14ac:dyDescent="0.3">
      <c r="A39" s="49" t="s">
        <v>489</v>
      </c>
      <c r="B39" s="6" t="s">
        <v>1104</v>
      </c>
      <c r="C39" s="6" t="s">
        <v>1111</v>
      </c>
      <c r="D39" s="58" t="str">
        <f>_xlfn.TEXTJOIN("",TRUE, "VIP",ReloadStatusTable[[#This Row],[Abbreviation]],"T")</f>
        <v>VIPEVST</v>
      </c>
      <c r="E39" s="6" t="s">
        <v>1112</v>
      </c>
      <c r="F39" s="7">
        <v>44238.895833333336</v>
      </c>
      <c r="G39" s="61">
        <f>ReloadStatusTable[[#This Row],[Forecasted Reload Completion Time (MT)]]+1/24</f>
        <v>44238.9375</v>
      </c>
      <c r="H39" s="35" t="str">
        <f>IF(ReloadStatusTable[[#This Row],[Actual Completion time (MT)]]="","not done yet","Complete")</f>
        <v>not done yet</v>
      </c>
      <c r="I39" s="7" t="str">
        <f>_xlfn.XLOOKUP(CONCATENATE(ReloadStatusTable[[#This Row],[Table]],TEXT(Process_Date,"yyyy-mm-dd")),'Daily_Completion Status'!F:F,'Daily_Completion Status'!H:H,"",0)</f>
        <v/>
      </c>
      <c r="J39" s="74" t="e">
        <f>ReloadStatusTable[[#This Row],[Actual Completion time (MT)]]+1/24</f>
        <v>#VALUE!</v>
      </c>
      <c r="K3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VAN-INFOCAST-NDW-WOM-EVS-DLY</v>
      </c>
      <c r="L39" s="28" t="s">
        <v>1085</v>
      </c>
      <c r="M39" s="27" t="s">
        <v>1085</v>
      </c>
      <c r="N39" s="36" t="str">
        <f>IF(ReloadStatusTable[[#This Row],[DWH Infocast Jobname]]="N/A","N/A",IF(ReloadStatusTable[[#This Row],[DWH Infocast File Actual Delivery Time (MT)]]="","not delivered yet","Delivered"))</f>
        <v>not delivered yet</v>
      </c>
      <c r="O3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39" s="29" t="e">
        <f>ReloadStatusTable[[#This Row],[DWH Infocast File Actual Delivery Time (MT)]] + 1/24</f>
        <v>#VALUE!</v>
      </c>
      <c r="Q39" s="52"/>
    </row>
    <row r="40" spans="1:20" ht="26.25" customHeight="1" x14ac:dyDescent="0.3">
      <c r="A40" s="56" t="s">
        <v>8</v>
      </c>
      <c r="B40" s="6" t="s">
        <v>1113</v>
      </c>
      <c r="C40" s="6" t="s">
        <v>1114</v>
      </c>
      <c r="D40" s="57" t="str">
        <f>_xlfn.TEXTJOIN("",TRUE, "VIP",ReloadStatusTable[[#This Row],[Abbreviation]],"T")</f>
        <v>VIPOJAT</v>
      </c>
      <c r="E40" s="6" t="s">
        <v>1115</v>
      </c>
      <c r="F40" s="7">
        <v>44238.9375</v>
      </c>
      <c r="G40" s="61">
        <f>ReloadStatusTable[[#This Row],[Forecasted Reload Completion Time (MT)]]+1/24</f>
        <v>44238.979166666664</v>
      </c>
      <c r="H40" s="35" t="str">
        <f>IF(ReloadStatusTable[[#This Row],[Actual Completion time (MT)]]="","not done yet","Complete")</f>
        <v>not done yet</v>
      </c>
      <c r="I40" s="7" t="str">
        <f>_xlfn.XLOOKUP(CONCATENATE(ReloadStatusTable[[#This Row],[Table]],TEXT(Process_Date,"yyyy-mm-dd")),'Daily_Completion Status'!F:F,'Daily_Completion Status'!H:H,"",0)</f>
        <v/>
      </c>
      <c r="J40" s="74" t="e">
        <f>ReloadStatusTable[[#This Row],[Actual Completion time (MT)]]+1/24</f>
        <v>#VALUE!</v>
      </c>
      <c r="K4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VAN-INFOCAST-NDW-DEN-OJA-DLY</v>
      </c>
      <c r="L40" s="17" t="s">
        <v>1116</v>
      </c>
      <c r="M40" s="7">
        <v>44239.020833333336</v>
      </c>
      <c r="N40" s="34" t="str">
        <f>IF(ReloadStatusTable[[#This Row],[DWH Infocast Jobname]]="N/A","N/A",IF(ReloadStatusTable[[#This Row],[DWH Infocast File Actual Delivery Time (MT)]]="","not delivered yet","Delivered"))</f>
        <v>not delivered yet</v>
      </c>
      <c r="O4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0" s="20" t="e">
        <f>ReloadStatusTable[[#This Row],[DWH Infocast File Actual Delivery Time (MT)]] + 1/24</f>
        <v>#VALUE!</v>
      </c>
      <c r="Q40" s="52"/>
      <c r="R40" s="86"/>
      <c r="S40">
        <v>400</v>
      </c>
      <c r="T40">
        <v>7900</v>
      </c>
    </row>
    <row r="41" spans="1:20" ht="26.25" customHeight="1" x14ac:dyDescent="0.3">
      <c r="A41" s="49" t="s">
        <v>369</v>
      </c>
      <c r="B41" s="6" t="s">
        <v>1113</v>
      </c>
      <c r="C41" s="6" t="s">
        <v>1114</v>
      </c>
      <c r="D41" s="58" t="str">
        <f>_xlfn.TEXTJOIN("",TRUE, "VIP",ReloadStatusTable[[#This Row],[Abbreviation]],"T")</f>
        <v>VIPOJAT</v>
      </c>
      <c r="E41" s="6" t="s">
        <v>1115</v>
      </c>
      <c r="F41" s="7">
        <v>44238.9375</v>
      </c>
      <c r="G41" s="61">
        <f>ReloadStatusTable[[#This Row],[Forecasted Reload Completion Time (MT)]]+1/24</f>
        <v>44238.979166666664</v>
      </c>
      <c r="H41" s="35" t="str">
        <f>IF(ReloadStatusTable[[#This Row],[Actual Completion time (MT)]]="","not done yet","Complete")</f>
        <v>not done yet</v>
      </c>
      <c r="I41" s="7" t="str">
        <f>_xlfn.XLOOKUP(CONCATENATE(ReloadStatusTable[[#This Row],[Table]],TEXT(Process_Date,"yyyy-mm-dd")),'Daily_Completion Status'!F:F,'Daily_Completion Status'!H:H,"",0)</f>
        <v/>
      </c>
      <c r="J41" s="74" t="e">
        <f>ReloadStatusTable[[#This Row],[Actual Completion time (MT)]]+1/24</f>
        <v>#VALUE!</v>
      </c>
      <c r="K4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VAN-INFOCAST-NDW-SLC-OJA-DLY</v>
      </c>
      <c r="L41" s="17" t="s">
        <v>1116</v>
      </c>
      <c r="M41" s="7">
        <v>44239.020833333336</v>
      </c>
      <c r="N41" s="35" t="str">
        <f>IF(ReloadStatusTable[[#This Row],[DWH Infocast Jobname]]="N/A","N/A",IF(ReloadStatusTable[[#This Row],[DWH Infocast File Actual Delivery Time (MT)]]="","not delivered yet","Delivered"))</f>
        <v>not delivered yet</v>
      </c>
      <c r="O4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1" s="20" t="e">
        <f>ReloadStatusTable[[#This Row],[DWH Infocast File Actual Delivery Time (MT)]] + 1/24</f>
        <v>#VALUE!</v>
      </c>
      <c r="Q41" s="52"/>
      <c r="R41" s="86"/>
      <c r="S41">
        <v>400</v>
      </c>
      <c r="T41">
        <v>7900</v>
      </c>
    </row>
    <row r="42" spans="1:20" ht="26.25" customHeight="1" x14ac:dyDescent="0.3">
      <c r="A42" s="49" t="s">
        <v>489</v>
      </c>
      <c r="B42" s="6" t="s">
        <v>1113</v>
      </c>
      <c r="C42" s="6" t="s">
        <v>1114</v>
      </c>
      <c r="D42" s="58" t="str">
        <f>_xlfn.TEXTJOIN("",TRUE, "VIP",ReloadStatusTable[[#This Row],[Abbreviation]],"T")</f>
        <v>VIPOJAT</v>
      </c>
      <c r="E42" s="6" t="s">
        <v>1115</v>
      </c>
      <c r="F42" s="7">
        <v>44238.9375</v>
      </c>
      <c r="G42" s="61">
        <f>ReloadStatusTable[[#This Row],[Forecasted Reload Completion Time (MT)]]+1/24</f>
        <v>44238.979166666664</v>
      </c>
      <c r="H42" s="35" t="str">
        <f>IF(ReloadStatusTable[[#This Row],[Actual Completion time (MT)]]="","not done yet","Complete")</f>
        <v>not done yet</v>
      </c>
      <c r="I42" s="7" t="str">
        <f>_xlfn.XLOOKUP(CONCATENATE(ReloadStatusTable[[#This Row],[Table]],TEXT(Process_Date,"yyyy-mm-dd")),'Daily_Completion Status'!F:F,'Daily_Completion Status'!H:H,"",0)</f>
        <v/>
      </c>
      <c r="J42" s="74" t="e">
        <f>ReloadStatusTable[[#This Row],[Actual Completion time (MT)]]+1/24</f>
        <v>#VALUE!</v>
      </c>
      <c r="K4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VAN-INFOCAST-NDW-WOM-OJA-DLY</v>
      </c>
      <c r="L42" s="17" t="s">
        <v>1116</v>
      </c>
      <c r="M42" s="7">
        <v>44239.020833333336</v>
      </c>
      <c r="N42" s="35" t="str">
        <f>IF(ReloadStatusTable[[#This Row],[DWH Infocast Jobname]]="N/A","N/A",IF(ReloadStatusTable[[#This Row],[DWH Infocast File Actual Delivery Time (MT)]]="","not delivered yet","Delivered"))</f>
        <v>not delivered yet</v>
      </c>
      <c r="O4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2" s="20" t="e">
        <f>ReloadStatusTable[[#This Row],[DWH Infocast File Actual Delivery Time (MT)]] + 1/24</f>
        <v>#VALUE!</v>
      </c>
      <c r="Q42" s="52"/>
      <c r="R42" s="86"/>
      <c r="S42">
        <v>400</v>
      </c>
      <c r="T42">
        <v>7900</v>
      </c>
    </row>
    <row r="43" spans="1:20" ht="26.25" customHeight="1" x14ac:dyDescent="0.3">
      <c r="A43" s="56" t="s">
        <v>8</v>
      </c>
      <c r="B43" s="6" t="s">
        <v>1113</v>
      </c>
      <c r="C43" s="6" t="s">
        <v>1117</v>
      </c>
      <c r="D43" s="57" t="str">
        <f>_xlfn.TEXTJOIN("",TRUE, "VIP",ReloadStatusTable[[#This Row],[Abbreviation]],"T")</f>
        <v>VIPOJBT</v>
      </c>
      <c r="E43" s="6" t="s">
        <v>1118</v>
      </c>
      <c r="F43" s="7">
        <v>44238.9375</v>
      </c>
      <c r="G43" s="61">
        <f>ReloadStatusTable[[#This Row],[Forecasted Reload Completion Time (MT)]]+1/24</f>
        <v>44238.979166666664</v>
      </c>
      <c r="H43" s="35" t="str">
        <f>IF(ReloadStatusTable[[#This Row],[Actual Completion time (MT)]]="","not done yet","Complete")</f>
        <v>not done yet</v>
      </c>
      <c r="I43" s="7" t="str">
        <f>_xlfn.XLOOKUP(CONCATENATE(ReloadStatusTable[[#This Row],[Table]],TEXT(Process_Date,"yyyy-mm-dd")),'Daily_Completion Status'!F:F,'Daily_Completion Status'!H:H,"",0)</f>
        <v/>
      </c>
      <c r="J43" s="74" t="e">
        <f>ReloadStatusTable[[#This Row],[Actual Completion time (MT)]]+1/24</f>
        <v>#VALUE!</v>
      </c>
      <c r="K4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VAN-INFOCAST-NDW-DEN-JOB-DLY</v>
      </c>
      <c r="L43" s="17" t="s">
        <v>1119</v>
      </c>
      <c r="M43" s="7">
        <v>44239.020833333336</v>
      </c>
      <c r="N43" s="34" t="str">
        <f>IF(ReloadStatusTable[[#This Row],[DWH Infocast Jobname]]="N/A","N/A",IF(ReloadStatusTable[[#This Row],[DWH Infocast File Actual Delivery Time (MT)]]="","not delivered yet","Delivered"))</f>
        <v>not delivered yet</v>
      </c>
      <c r="O4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3" s="20" t="e">
        <f>ReloadStatusTable[[#This Row],[DWH Infocast File Actual Delivery Time (MT)]] + 1/24</f>
        <v>#VALUE!</v>
      </c>
      <c r="Q43" s="52"/>
      <c r="R43" s="86"/>
      <c r="S43">
        <v>400</v>
      </c>
      <c r="T43">
        <v>7900</v>
      </c>
    </row>
    <row r="44" spans="1:20" ht="26.25" customHeight="1" x14ac:dyDescent="0.3">
      <c r="A44" s="49" t="s">
        <v>369</v>
      </c>
      <c r="B44" s="6" t="s">
        <v>1113</v>
      </c>
      <c r="C44" s="6" t="s">
        <v>1117</v>
      </c>
      <c r="D44" s="58" t="str">
        <f>_xlfn.TEXTJOIN("",TRUE, "VIP",ReloadStatusTable[[#This Row],[Abbreviation]],"T")</f>
        <v>VIPOJBT</v>
      </c>
      <c r="E44" s="6" t="s">
        <v>1118</v>
      </c>
      <c r="F44" s="7">
        <v>44238.9375</v>
      </c>
      <c r="G44" s="61">
        <f>ReloadStatusTable[[#This Row],[Forecasted Reload Completion Time (MT)]]+1/24</f>
        <v>44238.979166666664</v>
      </c>
      <c r="H44" s="35" t="str">
        <f>IF(ReloadStatusTable[[#This Row],[Actual Completion time (MT)]]="","not done yet","Complete")</f>
        <v>not done yet</v>
      </c>
      <c r="I44" s="7" t="str">
        <f>_xlfn.XLOOKUP(CONCATENATE(ReloadStatusTable[[#This Row],[Table]],TEXT(Process_Date,"yyyy-mm-dd")),'Daily_Completion Status'!F:F,'Daily_Completion Status'!H:H,"",0)</f>
        <v/>
      </c>
      <c r="J44" s="74" t="e">
        <f>ReloadStatusTable[[#This Row],[Actual Completion time (MT)]]+1/24</f>
        <v>#VALUE!</v>
      </c>
      <c r="K4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VAN-INFOCAST-NDW-SLC-JOB-DLY</v>
      </c>
      <c r="L44" s="17" t="s">
        <v>1119</v>
      </c>
      <c r="M44" s="7">
        <v>44239.020833333336</v>
      </c>
      <c r="N44" s="35" t="str">
        <f>IF(ReloadStatusTable[[#This Row],[DWH Infocast Jobname]]="N/A","N/A",IF(ReloadStatusTable[[#This Row],[DWH Infocast File Actual Delivery Time (MT)]]="","not delivered yet","Delivered"))</f>
        <v>not delivered yet</v>
      </c>
      <c r="O4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4" s="20" t="e">
        <f>ReloadStatusTable[[#This Row],[DWH Infocast File Actual Delivery Time (MT)]] + 1/24</f>
        <v>#VALUE!</v>
      </c>
      <c r="Q44" s="52"/>
      <c r="R44" s="86"/>
      <c r="S44">
        <v>400</v>
      </c>
      <c r="T44">
        <v>7900</v>
      </c>
    </row>
    <row r="45" spans="1:20" ht="26.25" customHeight="1" x14ac:dyDescent="0.3">
      <c r="A45" s="49" t="s">
        <v>489</v>
      </c>
      <c r="B45" s="6" t="s">
        <v>1113</v>
      </c>
      <c r="C45" s="6" t="s">
        <v>1117</v>
      </c>
      <c r="D45" s="58" t="str">
        <f>_xlfn.TEXTJOIN("",TRUE, "VIP",ReloadStatusTable[[#This Row],[Abbreviation]],"T")</f>
        <v>VIPOJBT</v>
      </c>
      <c r="E45" s="6" t="s">
        <v>1118</v>
      </c>
      <c r="F45" s="7">
        <v>44238.9375</v>
      </c>
      <c r="G45" s="61">
        <f>ReloadStatusTable[[#This Row],[Forecasted Reload Completion Time (MT)]]+1/24</f>
        <v>44238.979166666664</v>
      </c>
      <c r="H45" s="35" t="str">
        <f>IF(ReloadStatusTable[[#This Row],[Actual Completion time (MT)]]="","not done yet","Complete")</f>
        <v>not done yet</v>
      </c>
      <c r="I45" s="7" t="str">
        <f>_xlfn.XLOOKUP(CONCATENATE(ReloadStatusTable[[#This Row],[Table]],TEXT(Process_Date,"yyyy-mm-dd")),'Daily_Completion Status'!F:F,'Daily_Completion Status'!H:H,"",0)</f>
        <v/>
      </c>
      <c r="J45" s="74" t="e">
        <f>ReloadStatusTable[[#This Row],[Actual Completion time (MT)]]+1/24</f>
        <v>#VALUE!</v>
      </c>
      <c r="K4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VAN-INFOCAST-NDW-WOM-JOB-DLY</v>
      </c>
      <c r="L45" s="17" t="s">
        <v>1119</v>
      </c>
      <c r="M45" s="7">
        <v>44239.020833333336</v>
      </c>
      <c r="N45" s="35" t="str">
        <f>IF(ReloadStatusTable[[#This Row],[DWH Infocast Jobname]]="N/A","N/A",IF(ReloadStatusTable[[#This Row],[DWH Infocast File Actual Delivery Time (MT)]]="","not delivered yet","Delivered"))</f>
        <v>not delivered yet</v>
      </c>
      <c r="O4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5" s="20" t="e">
        <f>ReloadStatusTable[[#This Row],[DWH Infocast File Actual Delivery Time (MT)]] + 1/24</f>
        <v>#VALUE!</v>
      </c>
      <c r="Q45" s="52"/>
      <c r="R45" s="86"/>
      <c r="S45">
        <v>400</v>
      </c>
      <c r="T45">
        <v>7900</v>
      </c>
    </row>
    <row r="46" spans="1:20" ht="26.25" customHeight="1" x14ac:dyDescent="0.3">
      <c r="A46" s="56" t="s">
        <v>8</v>
      </c>
      <c r="B46" s="6" t="s">
        <v>1120</v>
      </c>
      <c r="C46" s="6" t="s">
        <v>1121</v>
      </c>
      <c r="D46" s="57" t="str">
        <f>_xlfn.TEXTJOIN("",TRUE, "VIP",ReloadStatusTable[[#This Row],[Abbreviation]],"T")</f>
        <v>VIPEQCT</v>
      </c>
      <c r="E46" s="6" t="s">
        <v>1122</v>
      </c>
      <c r="F46" s="7">
        <v>44238.90625</v>
      </c>
      <c r="G46" s="61">
        <f>ReloadStatusTable[[#This Row],[Forecasted Reload Completion Time (MT)]]+1/24</f>
        <v>44238.947916666664</v>
      </c>
      <c r="H46" s="35" t="str">
        <f>IF(ReloadStatusTable[[#This Row],[Actual Completion time (MT)]]="","not done yet","Complete")</f>
        <v>not done yet</v>
      </c>
      <c r="I46" s="7" t="str">
        <f>_xlfn.XLOOKUP(CONCATENATE(ReloadStatusTable[[#This Row],[Table]],TEXT(Process_Date,"yyyy-mm-dd")),'Daily_Completion Status'!F:F,'Daily_Completion Status'!H:H,"",0)</f>
        <v/>
      </c>
      <c r="J46" s="74" t="e">
        <f>ReloadStatusTable[[#This Row],[Actual Completion time (MT)]]+1/24</f>
        <v>#VALUE!</v>
      </c>
      <c r="K4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VAN-INFOCAST-NDW-DEN-EQC-DLY</v>
      </c>
      <c r="L46" s="17" t="s">
        <v>1123</v>
      </c>
      <c r="M46" s="7">
        <v>44239.013888888891</v>
      </c>
      <c r="N46" s="34" t="str">
        <f>IF(ReloadStatusTable[[#This Row],[DWH Infocast Jobname]]="N/A","N/A",IF(ReloadStatusTable[[#This Row],[DWH Infocast File Actual Delivery Time (MT)]]="","not delivered yet","Delivered"))</f>
        <v>not delivered yet</v>
      </c>
      <c r="O4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6" s="20" t="e">
        <f>ReloadStatusTable[[#This Row],[DWH Infocast File Actual Delivery Time (MT)]] + 1/24</f>
        <v>#VALUE!</v>
      </c>
      <c r="Q46" s="52"/>
    </row>
    <row r="47" spans="1:20" ht="26.25" customHeight="1" x14ac:dyDescent="0.3">
      <c r="A47" s="49" t="s">
        <v>369</v>
      </c>
      <c r="B47" s="6" t="s">
        <v>1120</v>
      </c>
      <c r="C47" s="6" t="s">
        <v>1121</v>
      </c>
      <c r="D47" s="58" t="str">
        <f>_xlfn.TEXTJOIN("",TRUE, "VIP",ReloadStatusTable[[#This Row],[Abbreviation]],"T")</f>
        <v>VIPEQCT</v>
      </c>
      <c r="E47" s="6" t="s">
        <v>1122</v>
      </c>
      <c r="F47" s="7">
        <v>44238.90625</v>
      </c>
      <c r="G47" s="61">
        <f>ReloadStatusTable[[#This Row],[Forecasted Reload Completion Time (MT)]]+1/24</f>
        <v>44238.947916666664</v>
      </c>
      <c r="H47" s="35" t="str">
        <f>IF(ReloadStatusTable[[#This Row],[Actual Completion time (MT)]]="","not done yet","Complete")</f>
        <v>not done yet</v>
      </c>
      <c r="I47" s="7" t="str">
        <f>_xlfn.XLOOKUP(CONCATENATE(ReloadStatusTable[[#This Row],[Table]],TEXT(Process_Date,"yyyy-mm-dd")),'Daily_Completion Status'!F:F,'Daily_Completion Status'!H:H,"",0)</f>
        <v/>
      </c>
      <c r="J47" s="74" t="e">
        <f>ReloadStatusTable[[#This Row],[Actual Completion time (MT)]]+1/24</f>
        <v>#VALUE!</v>
      </c>
      <c r="K4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VAN-INFOCAST-NDW-SLC-EQC-DLY</v>
      </c>
      <c r="L47" s="17" t="s">
        <v>1123</v>
      </c>
      <c r="M47" s="7">
        <v>44239.013888888891</v>
      </c>
      <c r="N47" s="35" t="str">
        <f>IF(ReloadStatusTable[[#This Row],[DWH Infocast Jobname]]="N/A","N/A",IF(ReloadStatusTable[[#This Row],[DWH Infocast File Actual Delivery Time (MT)]]="","not delivered yet","Delivered"))</f>
        <v>not delivered yet</v>
      </c>
      <c r="O4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7" s="20" t="e">
        <f>ReloadStatusTable[[#This Row],[DWH Infocast File Actual Delivery Time (MT)]] + 1/24</f>
        <v>#VALUE!</v>
      </c>
      <c r="Q47" s="52"/>
    </row>
    <row r="48" spans="1:20" ht="26.25" customHeight="1" x14ac:dyDescent="0.3">
      <c r="A48" s="49" t="s">
        <v>489</v>
      </c>
      <c r="B48" s="6" t="s">
        <v>1120</v>
      </c>
      <c r="C48" s="6" t="s">
        <v>1121</v>
      </c>
      <c r="D48" s="58" t="str">
        <f>_xlfn.TEXTJOIN("",TRUE, "VIP",ReloadStatusTable[[#This Row],[Abbreviation]],"T")</f>
        <v>VIPEQCT</v>
      </c>
      <c r="E48" s="6" t="s">
        <v>1122</v>
      </c>
      <c r="F48" s="7">
        <v>44238.90625</v>
      </c>
      <c r="G48" s="61">
        <f>ReloadStatusTable[[#This Row],[Forecasted Reload Completion Time (MT)]]+1/24</f>
        <v>44238.947916666664</v>
      </c>
      <c r="H48" s="35" t="str">
        <f>IF(ReloadStatusTable[[#This Row],[Actual Completion time (MT)]]="","not done yet","Complete")</f>
        <v>not done yet</v>
      </c>
      <c r="I48" s="7" t="str">
        <f>_xlfn.XLOOKUP(CONCATENATE(ReloadStatusTable[[#This Row],[Table]],TEXT(Process_Date,"yyyy-mm-dd")),'Daily_Completion Status'!F:F,'Daily_Completion Status'!H:H,"",0)</f>
        <v/>
      </c>
      <c r="J48" s="74" t="e">
        <f>ReloadStatusTable[[#This Row],[Actual Completion time (MT)]]+1/24</f>
        <v>#VALUE!</v>
      </c>
      <c r="K4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VAN-INFOCAST-NDW-WOM-EQC-DLY</v>
      </c>
      <c r="L48" s="17" t="s">
        <v>1123</v>
      </c>
      <c r="M48" s="7">
        <v>44239.013888888891</v>
      </c>
      <c r="N48" s="35" t="str">
        <f>IF(ReloadStatusTable[[#This Row],[DWH Infocast Jobname]]="N/A","N/A",IF(ReloadStatusTable[[#This Row],[DWH Infocast File Actual Delivery Time (MT)]]="","not delivered yet","Delivered"))</f>
        <v>not delivered yet</v>
      </c>
      <c r="O4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8" s="20" t="e">
        <f>ReloadStatusTable[[#This Row],[DWH Infocast File Actual Delivery Time (MT)]] + 1/24</f>
        <v>#VALUE!</v>
      </c>
      <c r="Q48" s="52"/>
    </row>
    <row r="49" spans="1:20" ht="26.25" customHeight="1" x14ac:dyDescent="0.3">
      <c r="A49" s="56" t="s">
        <v>8</v>
      </c>
      <c r="B49" s="6" t="s">
        <v>1120</v>
      </c>
      <c r="C49" s="6" t="s">
        <v>1124</v>
      </c>
      <c r="D49" s="57" t="str">
        <f>_xlfn.TEXTJOIN("",TRUE, "VIP",ReloadStatusTable[[#This Row],[Abbreviation]],"T")</f>
        <v>VIPEQET</v>
      </c>
      <c r="E49" s="6" t="s">
        <v>1125</v>
      </c>
      <c r="F49" s="7">
        <v>44238.90625</v>
      </c>
      <c r="G49" s="61">
        <f>ReloadStatusTable[[#This Row],[Forecasted Reload Completion Time (MT)]]+1/24</f>
        <v>44238.947916666664</v>
      </c>
      <c r="H49" s="35" t="str">
        <f>IF(ReloadStatusTable[[#This Row],[Actual Completion time (MT)]]="","not done yet","Complete")</f>
        <v>not done yet</v>
      </c>
      <c r="I49" s="7" t="str">
        <f>_xlfn.XLOOKUP(CONCATENATE(ReloadStatusTable[[#This Row],[Table]],TEXT(Process_Date,"yyyy-mm-dd")),'Daily_Completion Status'!F:F,'Daily_Completion Status'!H:H,"",0)</f>
        <v/>
      </c>
      <c r="J49" s="74" t="e">
        <f>ReloadStatusTable[[#This Row],[Actual Completion time (MT)]]+1/24</f>
        <v>#VALUE!</v>
      </c>
      <c r="K49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VAN-INFOCAST-NDW-DEN-EQE-DLY</v>
      </c>
      <c r="L49" s="17" t="s">
        <v>1126</v>
      </c>
      <c r="M49" s="7">
        <v>44239.013888888891</v>
      </c>
      <c r="N49" s="34" t="str">
        <f>IF(ReloadStatusTable[[#This Row],[DWH Infocast Jobname]]="N/A","N/A",IF(ReloadStatusTable[[#This Row],[DWH Infocast File Actual Delivery Time (MT)]]="","not delivered yet","Delivered"))</f>
        <v>not delivered yet</v>
      </c>
      <c r="O49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49" s="20" t="e">
        <f>ReloadStatusTable[[#This Row],[DWH Infocast File Actual Delivery Time (MT)]] + 1/24</f>
        <v>#VALUE!</v>
      </c>
      <c r="Q49" s="52"/>
    </row>
    <row r="50" spans="1:20" ht="26.25" customHeight="1" x14ac:dyDescent="0.3">
      <c r="A50" s="49" t="s">
        <v>369</v>
      </c>
      <c r="B50" s="6" t="s">
        <v>1120</v>
      </c>
      <c r="C50" s="6" t="s">
        <v>1124</v>
      </c>
      <c r="D50" s="58" t="str">
        <f>_xlfn.TEXTJOIN("",TRUE, "VIP",ReloadStatusTable[[#This Row],[Abbreviation]],"T")</f>
        <v>VIPEQET</v>
      </c>
      <c r="E50" s="6" t="s">
        <v>1125</v>
      </c>
      <c r="F50" s="7">
        <v>44238.90625</v>
      </c>
      <c r="G50" s="61">
        <f>ReloadStatusTable[[#This Row],[Forecasted Reload Completion Time (MT)]]+1/24</f>
        <v>44238.947916666664</v>
      </c>
      <c r="H50" s="35" t="str">
        <f>IF(ReloadStatusTable[[#This Row],[Actual Completion time (MT)]]="","not done yet","Complete")</f>
        <v>not done yet</v>
      </c>
      <c r="I50" s="7" t="str">
        <f>_xlfn.XLOOKUP(CONCATENATE(ReloadStatusTable[[#This Row],[Table]],TEXT(Process_Date,"yyyy-mm-dd")),'Daily_Completion Status'!F:F,'Daily_Completion Status'!H:H,"",0)</f>
        <v/>
      </c>
      <c r="J50" s="74" t="e">
        <f>ReloadStatusTable[[#This Row],[Actual Completion time (MT)]]+1/24</f>
        <v>#VALUE!</v>
      </c>
      <c r="K5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VAN-INFOCAST-NDW-SLC-EQE-DLY</v>
      </c>
      <c r="L50" s="17" t="s">
        <v>1126</v>
      </c>
      <c r="M50" s="7">
        <v>44239.013888888891</v>
      </c>
      <c r="N50" s="35" t="str">
        <f>IF(ReloadStatusTable[[#This Row],[DWH Infocast Jobname]]="N/A","N/A",IF(ReloadStatusTable[[#This Row],[DWH Infocast File Actual Delivery Time (MT)]]="","not delivered yet","Delivered"))</f>
        <v>not delivered yet</v>
      </c>
      <c r="O5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0" s="20" t="e">
        <f>ReloadStatusTable[[#This Row],[DWH Infocast File Actual Delivery Time (MT)]] + 1/24</f>
        <v>#VALUE!</v>
      </c>
      <c r="Q50" s="52"/>
    </row>
    <row r="51" spans="1:20" ht="26.25" customHeight="1" x14ac:dyDescent="0.3">
      <c r="A51" s="49" t="s">
        <v>489</v>
      </c>
      <c r="B51" s="6" t="s">
        <v>1120</v>
      </c>
      <c r="C51" s="6" t="s">
        <v>1124</v>
      </c>
      <c r="D51" s="58" t="str">
        <f>_xlfn.TEXTJOIN("",TRUE, "VIP",ReloadStatusTable[[#This Row],[Abbreviation]],"T")</f>
        <v>VIPEQET</v>
      </c>
      <c r="E51" s="6" t="s">
        <v>1125</v>
      </c>
      <c r="F51" s="7">
        <v>44238.90625</v>
      </c>
      <c r="G51" s="61">
        <f>ReloadStatusTable[[#This Row],[Forecasted Reload Completion Time (MT)]]+1/24</f>
        <v>44238.947916666664</v>
      </c>
      <c r="H51" s="35" t="str">
        <f>IF(ReloadStatusTable[[#This Row],[Actual Completion time (MT)]]="","not done yet","Complete")</f>
        <v>not done yet</v>
      </c>
      <c r="I51" s="7" t="str">
        <f>_xlfn.XLOOKUP(CONCATENATE(ReloadStatusTable[[#This Row],[Table]],TEXT(Process_Date,"yyyy-mm-dd")),'Daily_Completion Status'!F:F,'Daily_Completion Status'!H:H,"",0)</f>
        <v/>
      </c>
      <c r="J51" s="74" t="e">
        <f>ReloadStatusTable[[#This Row],[Actual Completion time (MT)]]+1/24</f>
        <v>#VALUE!</v>
      </c>
      <c r="K5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VAN-INFOCAST-NDW-WOM-EQE-DLY</v>
      </c>
      <c r="L51" s="17" t="s">
        <v>1126</v>
      </c>
      <c r="M51" s="7">
        <v>44239.013888888891</v>
      </c>
      <c r="N51" s="35" t="str">
        <f>IF(ReloadStatusTable[[#This Row],[DWH Infocast Jobname]]="N/A","N/A",IF(ReloadStatusTable[[#This Row],[DWH Infocast File Actual Delivery Time (MT)]]="","not delivered yet","Delivered"))</f>
        <v>not delivered yet</v>
      </c>
      <c r="O5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1" s="20" t="e">
        <f>ReloadStatusTable[[#This Row],[DWH Infocast File Actual Delivery Time (MT)]] + 1/24</f>
        <v>#VALUE!</v>
      </c>
      <c r="Q51" s="52"/>
    </row>
    <row r="52" spans="1:20" ht="26.25" customHeight="1" x14ac:dyDescent="0.3">
      <c r="A52" s="56" t="s">
        <v>8</v>
      </c>
      <c r="B52" s="6" t="s">
        <v>1120</v>
      </c>
      <c r="C52" s="6" t="s">
        <v>1127</v>
      </c>
      <c r="D52" s="57" t="str">
        <f>_xlfn.TEXTJOIN("",TRUE, "VIP",ReloadStatusTable[[#This Row],[Abbreviation]],"T")</f>
        <v>VIPEQPT</v>
      </c>
      <c r="E52" s="6" t="s">
        <v>1128</v>
      </c>
      <c r="F52" s="7">
        <v>44238.90625</v>
      </c>
      <c r="G52" s="61">
        <f>ReloadStatusTable[[#This Row],[Forecasted Reload Completion Time (MT)]]+1/24</f>
        <v>44238.947916666664</v>
      </c>
      <c r="H52" s="35" t="str">
        <f>IF(ReloadStatusTable[[#This Row],[Actual Completion time (MT)]]="","not done yet","Complete")</f>
        <v>not done yet</v>
      </c>
      <c r="I52" s="7" t="str">
        <f>_xlfn.XLOOKUP(CONCATENATE(ReloadStatusTable[[#This Row],[Table]],TEXT(Process_Date,"yyyy-mm-dd")),'Daily_Completion Status'!F:F,'Daily_Completion Status'!H:H,"",0)</f>
        <v/>
      </c>
      <c r="J52" s="74" t="e">
        <f>ReloadStatusTable[[#This Row],[Actual Completion time (MT)]]+1/24</f>
        <v>#VALUE!</v>
      </c>
      <c r="K5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VAN-INFOCAST-NDW-DEN-EQP-DLY</v>
      </c>
      <c r="L52" s="17" t="s">
        <v>1129</v>
      </c>
      <c r="M52" s="7">
        <v>44239.013888888891</v>
      </c>
      <c r="N52" s="34" t="str">
        <f>IF(ReloadStatusTable[[#This Row],[DWH Infocast Jobname]]="N/A","N/A",IF(ReloadStatusTable[[#This Row],[DWH Infocast File Actual Delivery Time (MT)]]="","not delivered yet","Delivered"))</f>
        <v>not delivered yet</v>
      </c>
      <c r="O5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2" s="20" t="e">
        <f>ReloadStatusTable[[#This Row],[DWH Infocast File Actual Delivery Time (MT)]] + 1/24</f>
        <v>#VALUE!</v>
      </c>
      <c r="Q52" s="52"/>
    </row>
    <row r="53" spans="1:20" ht="26.25" customHeight="1" x14ac:dyDescent="0.3">
      <c r="A53" s="49" t="s">
        <v>369</v>
      </c>
      <c r="B53" s="6" t="s">
        <v>1120</v>
      </c>
      <c r="C53" s="6" t="s">
        <v>1127</v>
      </c>
      <c r="D53" s="58" t="str">
        <f>_xlfn.TEXTJOIN("",TRUE, "VIP",ReloadStatusTable[[#This Row],[Abbreviation]],"T")</f>
        <v>VIPEQPT</v>
      </c>
      <c r="E53" s="6" t="s">
        <v>1128</v>
      </c>
      <c r="F53" s="7">
        <v>44238.90625</v>
      </c>
      <c r="G53" s="61">
        <f>ReloadStatusTable[[#This Row],[Forecasted Reload Completion Time (MT)]]+1/24</f>
        <v>44238.947916666664</v>
      </c>
      <c r="H53" s="35" t="str">
        <f>IF(ReloadStatusTable[[#This Row],[Actual Completion time (MT)]]="","not done yet","Complete")</f>
        <v>not done yet</v>
      </c>
      <c r="I53" s="7" t="str">
        <f>_xlfn.XLOOKUP(CONCATENATE(ReloadStatusTable[[#This Row],[Table]],TEXT(Process_Date,"yyyy-mm-dd")),'Daily_Completion Status'!F:F,'Daily_Completion Status'!H:H,"",0)</f>
        <v/>
      </c>
      <c r="J53" s="74" t="e">
        <f>ReloadStatusTable[[#This Row],[Actual Completion time (MT)]]+1/24</f>
        <v>#VALUE!</v>
      </c>
      <c r="K5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VAN-INFOCAST-NDW-SLC-EQP-DLY</v>
      </c>
      <c r="L53" s="17" t="s">
        <v>1129</v>
      </c>
      <c r="M53" s="7">
        <v>44239.013888888891</v>
      </c>
      <c r="N53" s="35" t="str">
        <f>IF(ReloadStatusTable[[#This Row],[DWH Infocast Jobname]]="N/A","N/A",IF(ReloadStatusTable[[#This Row],[DWH Infocast File Actual Delivery Time (MT)]]="","not delivered yet","Delivered"))</f>
        <v>not delivered yet</v>
      </c>
      <c r="O5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3" s="20" t="e">
        <f>ReloadStatusTable[[#This Row],[DWH Infocast File Actual Delivery Time (MT)]] + 1/24</f>
        <v>#VALUE!</v>
      </c>
      <c r="Q53" s="52"/>
    </row>
    <row r="54" spans="1:20" ht="26.25" customHeight="1" x14ac:dyDescent="0.3">
      <c r="A54" s="49" t="s">
        <v>489</v>
      </c>
      <c r="B54" s="6" t="s">
        <v>1120</v>
      </c>
      <c r="C54" s="6" t="s">
        <v>1127</v>
      </c>
      <c r="D54" s="58" t="str">
        <f>_xlfn.TEXTJOIN("",TRUE, "VIP",ReloadStatusTable[[#This Row],[Abbreviation]],"T")</f>
        <v>VIPEQPT</v>
      </c>
      <c r="E54" s="6" t="s">
        <v>1128</v>
      </c>
      <c r="F54" s="7">
        <v>44238.90625</v>
      </c>
      <c r="G54" s="61">
        <f>ReloadStatusTable[[#This Row],[Forecasted Reload Completion Time (MT)]]+1/24</f>
        <v>44238.947916666664</v>
      </c>
      <c r="H54" s="35" t="str">
        <f>IF(ReloadStatusTable[[#This Row],[Actual Completion time (MT)]]="","not done yet","Complete")</f>
        <v>not done yet</v>
      </c>
      <c r="I54" s="7" t="str">
        <f>_xlfn.XLOOKUP(CONCATENATE(ReloadStatusTable[[#This Row],[Table]],TEXT(Process_Date,"yyyy-mm-dd")),'Daily_Completion Status'!F:F,'Daily_Completion Status'!H:H,"",0)</f>
        <v/>
      </c>
      <c r="J54" s="74" t="e">
        <f>ReloadStatusTable[[#This Row],[Actual Completion time (MT)]]+1/24</f>
        <v>#VALUE!</v>
      </c>
      <c r="K5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VAN-INFOCAST-NDW-WOM-EQP-DLY</v>
      </c>
      <c r="L54" s="17" t="s">
        <v>1129</v>
      </c>
      <c r="M54" s="7">
        <v>44239.013888888891</v>
      </c>
      <c r="N54" s="35" t="str">
        <f>IF(ReloadStatusTable[[#This Row],[DWH Infocast Jobname]]="N/A","N/A",IF(ReloadStatusTable[[#This Row],[DWH Infocast File Actual Delivery Time (MT)]]="","not delivered yet","Delivered"))</f>
        <v>not delivered yet</v>
      </c>
      <c r="O5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4" s="20" t="e">
        <f>ReloadStatusTable[[#This Row],[DWH Infocast File Actual Delivery Time (MT)]] + 1/24</f>
        <v>#VALUE!</v>
      </c>
      <c r="Q54" s="52"/>
    </row>
    <row r="55" spans="1:20" ht="26.25" customHeight="1" x14ac:dyDescent="0.3">
      <c r="A55" s="56" t="s">
        <v>8</v>
      </c>
      <c r="B55" s="6" t="s">
        <v>1120</v>
      </c>
      <c r="C55" s="6" t="s">
        <v>1130</v>
      </c>
      <c r="D55" s="57" t="str">
        <f>_xlfn.TEXTJOIN("",TRUE, "VIP",ReloadStatusTable[[#This Row],[Abbreviation]],"T")</f>
        <v>VIPEQST</v>
      </c>
      <c r="E55" s="6" t="s">
        <v>1131</v>
      </c>
      <c r="F55" s="7">
        <v>44238.90625</v>
      </c>
      <c r="G55" s="61">
        <f>ReloadStatusTable[[#This Row],[Forecasted Reload Completion Time (MT)]]+1/24</f>
        <v>44238.947916666664</v>
      </c>
      <c r="H55" s="35" t="str">
        <f>IF(ReloadStatusTable[[#This Row],[Actual Completion time (MT)]]="","not done yet","Complete")</f>
        <v>not done yet</v>
      </c>
      <c r="I55" s="7" t="str">
        <f>_xlfn.XLOOKUP(CONCATENATE(ReloadStatusTable[[#This Row],[Table]],TEXT(Process_Date,"yyyy-mm-dd")),'Daily_Completion Status'!F:F,'Daily_Completion Status'!H:H,"",0)</f>
        <v/>
      </c>
      <c r="J55" s="74" t="e">
        <f>ReloadStatusTable[[#This Row],[Actual Completion time (MT)]]+1/24</f>
        <v>#VALUE!</v>
      </c>
      <c r="K5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VAN-INFOCAST-NDW-DEN-EQS-DLY</v>
      </c>
      <c r="L55" s="17" t="s">
        <v>1132</v>
      </c>
      <c r="M55" s="7">
        <v>44239.013888888891</v>
      </c>
      <c r="N55" s="34" t="str">
        <f>IF(ReloadStatusTable[[#This Row],[DWH Infocast Jobname]]="N/A","N/A",IF(ReloadStatusTable[[#This Row],[DWH Infocast File Actual Delivery Time (MT)]]="","not delivered yet","Delivered"))</f>
        <v>not delivered yet</v>
      </c>
      <c r="O5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5" s="20" t="e">
        <f>ReloadStatusTable[[#This Row],[DWH Infocast File Actual Delivery Time (MT)]] + 1/24</f>
        <v>#VALUE!</v>
      </c>
      <c r="Q55" s="52"/>
    </row>
    <row r="56" spans="1:20" ht="26.25" customHeight="1" x14ac:dyDescent="0.3">
      <c r="A56" s="49" t="s">
        <v>369</v>
      </c>
      <c r="B56" s="6" t="s">
        <v>1120</v>
      </c>
      <c r="C56" s="6" t="s">
        <v>1130</v>
      </c>
      <c r="D56" s="58" t="str">
        <f>_xlfn.TEXTJOIN("",TRUE, "VIP",ReloadStatusTable[[#This Row],[Abbreviation]],"T")</f>
        <v>VIPEQST</v>
      </c>
      <c r="E56" s="6" t="s">
        <v>1131</v>
      </c>
      <c r="F56" s="7">
        <v>44238.90625</v>
      </c>
      <c r="G56" s="61">
        <f>ReloadStatusTable[[#This Row],[Forecasted Reload Completion Time (MT)]]+1/24</f>
        <v>44238.947916666664</v>
      </c>
      <c r="H56" s="35" t="str">
        <f>IF(ReloadStatusTable[[#This Row],[Actual Completion time (MT)]]="","not done yet","Complete")</f>
        <v>not done yet</v>
      </c>
      <c r="I56" s="7" t="str">
        <f>_xlfn.XLOOKUP(CONCATENATE(ReloadStatusTable[[#This Row],[Table]],TEXT(Process_Date,"yyyy-mm-dd")),'Daily_Completion Status'!F:F,'Daily_Completion Status'!H:H,"",0)</f>
        <v/>
      </c>
      <c r="J56" s="74" t="e">
        <f>ReloadStatusTable[[#This Row],[Actual Completion time (MT)]]+1/24</f>
        <v>#VALUE!</v>
      </c>
      <c r="K5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VAN-INFOCAST-NDW-SLC-EQS-DLY</v>
      </c>
      <c r="L56" s="17" t="s">
        <v>1132</v>
      </c>
      <c r="M56" s="7">
        <v>44239.013888888891</v>
      </c>
      <c r="N56" s="35" t="str">
        <f>IF(ReloadStatusTable[[#This Row],[DWH Infocast Jobname]]="N/A","N/A",IF(ReloadStatusTable[[#This Row],[DWH Infocast File Actual Delivery Time (MT)]]="","not delivered yet","Delivered"))</f>
        <v>not delivered yet</v>
      </c>
      <c r="O5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6" s="20" t="e">
        <f>ReloadStatusTable[[#This Row],[DWH Infocast File Actual Delivery Time (MT)]] + 1/24</f>
        <v>#VALUE!</v>
      </c>
      <c r="Q56" s="52"/>
    </row>
    <row r="57" spans="1:20" ht="26.25" customHeight="1" x14ac:dyDescent="0.3">
      <c r="A57" s="49" t="s">
        <v>489</v>
      </c>
      <c r="B57" s="6" t="s">
        <v>1120</v>
      </c>
      <c r="C57" s="6" t="s">
        <v>1130</v>
      </c>
      <c r="D57" s="58" t="str">
        <f>_xlfn.TEXTJOIN("",TRUE, "VIP",ReloadStatusTable[[#This Row],[Abbreviation]],"T")</f>
        <v>VIPEQST</v>
      </c>
      <c r="E57" s="6" t="s">
        <v>1131</v>
      </c>
      <c r="F57" s="7">
        <v>44238.90625</v>
      </c>
      <c r="G57" s="61">
        <f>ReloadStatusTable[[#This Row],[Forecasted Reload Completion Time (MT)]]+1/24</f>
        <v>44238.947916666664</v>
      </c>
      <c r="H57" s="35" t="str">
        <f>IF(ReloadStatusTable[[#This Row],[Actual Completion time (MT)]]="","not done yet","Complete")</f>
        <v>not done yet</v>
      </c>
      <c r="I57" s="7" t="str">
        <f>_xlfn.XLOOKUP(CONCATENATE(ReloadStatusTable[[#This Row],[Table]],TEXT(Process_Date,"yyyy-mm-dd")),'Daily_Completion Status'!F:F,'Daily_Completion Status'!H:H,"",0)</f>
        <v/>
      </c>
      <c r="J57" s="74" t="e">
        <f>ReloadStatusTable[[#This Row],[Actual Completion time (MT)]]+1/24</f>
        <v>#VALUE!</v>
      </c>
      <c r="K5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VAN-INFOCAST-NDW-WOM-EQS-DLY</v>
      </c>
      <c r="L57" s="17" t="s">
        <v>1132</v>
      </c>
      <c r="M57" s="7">
        <v>44239.013888888891</v>
      </c>
      <c r="N57" s="35" t="str">
        <f>IF(ReloadStatusTable[[#This Row],[DWH Infocast Jobname]]="N/A","N/A",IF(ReloadStatusTable[[#This Row],[DWH Infocast File Actual Delivery Time (MT)]]="","not delivered yet","Delivered"))</f>
        <v>not delivered yet</v>
      </c>
      <c r="O5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7" s="20" t="e">
        <f>ReloadStatusTable[[#This Row],[DWH Infocast File Actual Delivery Time (MT)]] + 1/24</f>
        <v>#VALUE!</v>
      </c>
      <c r="Q57" s="52"/>
    </row>
    <row r="58" spans="1:20" ht="26.25" customHeight="1" x14ac:dyDescent="0.3">
      <c r="A58" s="56" t="s">
        <v>8</v>
      </c>
      <c r="B58" s="6" t="s">
        <v>1133</v>
      </c>
      <c r="C58" s="6" t="s">
        <v>1134</v>
      </c>
      <c r="D58" s="57" t="str">
        <f>_xlfn.TEXTJOIN("",TRUE, "VIP",ReloadStatusTable[[#This Row],[Abbreviation]],"T")</f>
        <v>VIPNQLT</v>
      </c>
      <c r="E58" s="6" t="s">
        <v>1135</v>
      </c>
      <c r="F58" s="95">
        <v>44239.020833333336</v>
      </c>
      <c r="G58" s="61">
        <f>ReloadStatusTable[[#This Row],[Forecasted Reload Completion Time (MT)]]+1/24</f>
        <v>44239.0625</v>
      </c>
      <c r="H58" s="35" t="str">
        <f>IF(ReloadStatusTable[[#This Row],[Actual Completion time (MT)]]="","not done yet","Complete")</f>
        <v>not done yet</v>
      </c>
      <c r="I58" s="7" t="str">
        <f>_xlfn.XLOOKUP(CONCATENATE(ReloadStatusTable[[#This Row],[Table]],TEXT(Process_Date,"yyyy-mm-dd")),'Daily_Completion Status'!F:F,'Daily_Completion Status'!H:H,"",0)</f>
        <v/>
      </c>
      <c r="J58" s="74" t="e">
        <f>ReloadStatusTable[[#This Row],[Actual Completion time (MT)]]+1/24</f>
        <v>#VALUE!</v>
      </c>
      <c r="K5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VAN-INFOCAST-NDW-DEN-NQL-DLY</v>
      </c>
      <c r="L58" s="17" t="s">
        <v>1136</v>
      </c>
      <c r="M58" s="95">
        <v>44239.104166666664</v>
      </c>
      <c r="N58" s="34" t="str">
        <f>IF(ReloadStatusTable[[#This Row],[DWH Infocast Jobname]]="N/A","N/A",IF(ReloadStatusTable[[#This Row],[DWH Infocast File Actual Delivery Time (MT)]]="","not delivered yet","Delivered"))</f>
        <v>not delivered yet</v>
      </c>
      <c r="O5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8" s="20" t="e">
        <f>ReloadStatusTable[[#This Row],[DWH Infocast File Actual Delivery Time (MT)]] + 1/24</f>
        <v>#VALUE!</v>
      </c>
      <c r="Q58" s="52"/>
      <c r="R58" s="86"/>
      <c r="S58">
        <v>875</v>
      </c>
      <c r="T58">
        <v>15200</v>
      </c>
    </row>
    <row r="59" spans="1:20" ht="26.25" customHeight="1" x14ac:dyDescent="0.3">
      <c r="A59" s="49" t="s">
        <v>369</v>
      </c>
      <c r="B59" s="6" t="s">
        <v>1133</v>
      </c>
      <c r="C59" s="6" t="s">
        <v>1134</v>
      </c>
      <c r="D59" s="58" t="str">
        <f>_xlfn.TEXTJOIN("",TRUE, "VIP",ReloadStatusTable[[#This Row],[Abbreviation]],"T")</f>
        <v>VIPNQLT</v>
      </c>
      <c r="E59" s="6" t="s">
        <v>1135</v>
      </c>
      <c r="F59" s="95">
        <v>44239.020833333336</v>
      </c>
      <c r="G59" s="61">
        <f>ReloadStatusTable[[#This Row],[Forecasted Reload Completion Time (MT)]]+1/24</f>
        <v>44239.0625</v>
      </c>
      <c r="H59" s="35" t="str">
        <f>IF(ReloadStatusTable[[#This Row],[Actual Completion time (MT)]]="","not done yet","Complete")</f>
        <v>not done yet</v>
      </c>
      <c r="I59" s="7" t="str">
        <f>_xlfn.XLOOKUP(CONCATENATE(ReloadStatusTable[[#This Row],[Table]],TEXT(Process_Date,"yyyy-mm-dd")),'Daily_Completion Status'!F:F,'Daily_Completion Status'!H:H,"",0)</f>
        <v/>
      </c>
      <c r="J59" s="74" t="e">
        <f>ReloadStatusTable[[#This Row],[Actual Completion time (MT)]]+1/24</f>
        <v>#VALUE!</v>
      </c>
      <c r="K59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VAN-INFOCAST-NDW-SLC-NQL-DLY</v>
      </c>
      <c r="L59" s="17" t="s">
        <v>1136</v>
      </c>
      <c r="M59" s="95">
        <v>44239.104166666664</v>
      </c>
      <c r="N59" s="35" t="str">
        <f>IF(ReloadStatusTable[[#This Row],[DWH Infocast Jobname]]="N/A","N/A",IF(ReloadStatusTable[[#This Row],[DWH Infocast File Actual Delivery Time (MT)]]="","not delivered yet","Delivered"))</f>
        <v>not delivered yet</v>
      </c>
      <c r="O59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59" s="20" t="e">
        <f>ReloadStatusTable[[#This Row],[DWH Infocast File Actual Delivery Time (MT)]] + 1/24</f>
        <v>#VALUE!</v>
      </c>
      <c r="Q59" s="52"/>
      <c r="R59" s="86"/>
      <c r="S59">
        <v>875</v>
      </c>
      <c r="T59">
        <v>15200</v>
      </c>
    </row>
    <row r="60" spans="1:20" ht="26.25" customHeight="1" x14ac:dyDescent="0.3">
      <c r="A60" s="49" t="s">
        <v>489</v>
      </c>
      <c r="B60" s="6" t="s">
        <v>1133</v>
      </c>
      <c r="C60" s="6" t="s">
        <v>1134</v>
      </c>
      <c r="D60" s="58" t="str">
        <f>_xlfn.TEXTJOIN("",TRUE, "VIP",ReloadStatusTable[[#This Row],[Abbreviation]],"T")</f>
        <v>VIPNQLT</v>
      </c>
      <c r="E60" s="6" t="s">
        <v>1135</v>
      </c>
      <c r="F60" s="95">
        <v>44239.020833333336</v>
      </c>
      <c r="G60" s="61">
        <f>ReloadStatusTable[[#This Row],[Forecasted Reload Completion Time (MT)]]+1/24</f>
        <v>44239.0625</v>
      </c>
      <c r="H60" s="35" t="str">
        <f>IF(ReloadStatusTable[[#This Row],[Actual Completion time (MT)]]="","not done yet","Complete")</f>
        <v>not done yet</v>
      </c>
      <c r="I60" s="7" t="str">
        <f>_xlfn.XLOOKUP(CONCATENATE(ReloadStatusTable[[#This Row],[Table]],TEXT(Process_Date,"yyyy-mm-dd")),'Daily_Completion Status'!F:F,'Daily_Completion Status'!H:H,"",0)</f>
        <v/>
      </c>
      <c r="J60" s="74" t="e">
        <f>ReloadStatusTable[[#This Row],[Actual Completion time (MT)]]+1/24</f>
        <v>#VALUE!</v>
      </c>
      <c r="K6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VAN-INFOCAST-NDW-WOM-NQL-DLY</v>
      </c>
      <c r="L60" s="17" t="s">
        <v>1136</v>
      </c>
      <c r="M60" s="95">
        <v>44239.104166666664</v>
      </c>
      <c r="N60" s="35" t="str">
        <f>IF(ReloadStatusTable[[#This Row],[DWH Infocast Jobname]]="N/A","N/A",IF(ReloadStatusTable[[#This Row],[DWH Infocast File Actual Delivery Time (MT)]]="","not delivered yet","Delivered"))</f>
        <v>not delivered yet</v>
      </c>
      <c r="O6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0" s="20" t="e">
        <f>ReloadStatusTable[[#This Row],[DWH Infocast File Actual Delivery Time (MT)]] + 1/24</f>
        <v>#VALUE!</v>
      </c>
      <c r="Q60" s="52"/>
      <c r="R60" s="86"/>
      <c r="S60">
        <v>875</v>
      </c>
      <c r="T60">
        <v>15200</v>
      </c>
    </row>
    <row r="61" spans="1:20" ht="26.25" customHeight="1" x14ac:dyDescent="0.3">
      <c r="A61" s="56" t="s">
        <v>8</v>
      </c>
      <c r="B61" s="6" t="s">
        <v>1137</v>
      </c>
      <c r="C61" s="6" t="s">
        <v>1138</v>
      </c>
      <c r="D61" s="57" t="str">
        <f>_xlfn.TEXTJOIN("",TRUE, "VIP",ReloadStatusTable[[#This Row],[Abbreviation]],"T")</f>
        <v>VIPOPIT</v>
      </c>
      <c r="E61" s="6" t="s">
        <v>1139</v>
      </c>
      <c r="F61" s="95">
        <v>44239.4375</v>
      </c>
      <c r="G61" s="61">
        <f>ReloadStatusTable[[#This Row],[Forecasted Reload Completion Time (MT)]]+1/24</f>
        <v>44239.479166666664</v>
      </c>
      <c r="H61" s="35" t="str">
        <f>IF(ReloadStatusTable[[#This Row],[Actual Completion time (MT)]]="","not done yet","Complete")</f>
        <v>not done yet</v>
      </c>
      <c r="I61" s="7" t="str">
        <f>_xlfn.XLOOKUP(CONCATENATE(ReloadStatusTable[[#This Row],[Table]],TEXT(Process_Date,"yyyy-mm-dd")),'Daily_Completion Status'!F:F,'Daily_Completion Status'!H:H,"",0)</f>
        <v/>
      </c>
      <c r="J61" s="74" t="e">
        <f>ReloadStatusTable[[#This Row],[Actual Completion time (MT)]]+1/24</f>
        <v>#VALUE!</v>
      </c>
      <c r="K6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VAN-INFOCAST-NDW-DEN-OPI-DLY</v>
      </c>
      <c r="L61" s="17" t="s">
        <v>1140</v>
      </c>
      <c r="M61" s="95">
        <v>44239.0625</v>
      </c>
      <c r="N61" s="34" t="str">
        <f>IF(ReloadStatusTable[[#This Row],[DWH Infocast Jobname]]="N/A","N/A",IF(ReloadStatusTable[[#This Row],[DWH Infocast File Actual Delivery Time (MT)]]="","not delivered yet","Delivered"))</f>
        <v>not delivered yet</v>
      </c>
      <c r="O6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1" s="20" t="e">
        <f>ReloadStatusTable[[#This Row],[DWH Infocast File Actual Delivery Time (MT)]] + 1/24</f>
        <v>#VALUE!</v>
      </c>
      <c r="Q61" s="52"/>
      <c r="R61" s="86"/>
      <c r="S61">
        <v>3160</v>
      </c>
      <c r="T61">
        <v>24600</v>
      </c>
    </row>
    <row r="62" spans="1:20" ht="26.25" customHeight="1" x14ac:dyDescent="0.3">
      <c r="A62" s="49" t="s">
        <v>369</v>
      </c>
      <c r="B62" s="6" t="s">
        <v>1137</v>
      </c>
      <c r="C62" s="6" t="s">
        <v>1138</v>
      </c>
      <c r="D62" s="58" t="str">
        <f>_xlfn.TEXTJOIN("",TRUE, "VIP",ReloadStatusTable[[#This Row],[Abbreviation]],"T")</f>
        <v>VIPOPIT</v>
      </c>
      <c r="E62" s="6" t="s">
        <v>1139</v>
      </c>
      <c r="F62" s="95">
        <v>44239.4375</v>
      </c>
      <c r="G62" s="61">
        <f>ReloadStatusTable[[#This Row],[Forecasted Reload Completion Time (MT)]]+1/24</f>
        <v>44239.479166666664</v>
      </c>
      <c r="H62" s="35" t="str">
        <f>IF(ReloadStatusTable[[#This Row],[Actual Completion time (MT)]]="","not done yet","Complete")</f>
        <v>not done yet</v>
      </c>
      <c r="I62" s="7" t="str">
        <f>_xlfn.XLOOKUP(CONCATENATE(ReloadStatusTable[[#This Row],[Table]],TEXT(Process_Date,"yyyy-mm-dd")),'Daily_Completion Status'!F:F,'Daily_Completion Status'!H:H,"",0)</f>
        <v/>
      </c>
      <c r="J62" s="74" t="e">
        <f>ReloadStatusTable[[#This Row],[Actual Completion time (MT)]]+1/24</f>
        <v>#VALUE!</v>
      </c>
      <c r="K6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VAN-INFOCAST-NDW-SLC-OPI-DLY</v>
      </c>
      <c r="L62" s="17" t="s">
        <v>1140</v>
      </c>
      <c r="M62" s="95">
        <v>44239.0625</v>
      </c>
      <c r="N62" s="35" t="str">
        <f>IF(ReloadStatusTable[[#This Row],[DWH Infocast Jobname]]="N/A","N/A",IF(ReloadStatusTable[[#This Row],[DWH Infocast File Actual Delivery Time (MT)]]="","not delivered yet","Delivered"))</f>
        <v>not delivered yet</v>
      </c>
      <c r="O6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2" s="20" t="e">
        <f>ReloadStatusTable[[#This Row],[DWH Infocast File Actual Delivery Time (MT)]] + 1/24</f>
        <v>#VALUE!</v>
      </c>
      <c r="Q62" s="52"/>
      <c r="R62" s="86"/>
      <c r="S62">
        <v>3160</v>
      </c>
      <c r="T62">
        <v>24600</v>
      </c>
    </row>
    <row r="63" spans="1:20" ht="26.25" customHeight="1" x14ac:dyDescent="0.3">
      <c r="A63" s="49" t="s">
        <v>489</v>
      </c>
      <c r="B63" s="6" t="s">
        <v>1137</v>
      </c>
      <c r="C63" s="6" t="s">
        <v>1138</v>
      </c>
      <c r="D63" s="58" t="str">
        <f>_xlfn.TEXTJOIN("",TRUE, "VIP",ReloadStatusTable[[#This Row],[Abbreviation]],"T")</f>
        <v>VIPOPIT</v>
      </c>
      <c r="E63" s="6" t="s">
        <v>1139</v>
      </c>
      <c r="F63" s="95">
        <v>44239.4375</v>
      </c>
      <c r="G63" s="61">
        <f>ReloadStatusTable[[#This Row],[Forecasted Reload Completion Time (MT)]]+1/24</f>
        <v>44239.479166666664</v>
      </c>
      <c r="H63" s="35" t="str">
        <f>IF(ReloadStatusTable[[#This Row],[Actual Completion time (MT)]]="","not done yet","Complete")</f>
        <v>not done yet</v>
      </c>
      <c r="I63" s="7" t="str">
        <f>_xlfn.XLOOKUP(CONCATENATE(ReloadStatusTable[[#This Row],[Table]],TEXT(Process_Date,"yyyy-mm-dd")),'Daily_Completion Status'!F:F,'Daily_Completion Status'!H:H,"",0)</f>
        <v/>
      </c>
      <c r="J63" s="74" t="e">
        <f>ReloadStatusTable[[#This Row],[Actual Completion time (MT)]]+1/24</f>
        <v>#VALUE!</v>
      </c>
      <c r="K6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VAN-INFOCAST-NDW-WOM-OPI-DLY</v>
      </c>
      <c r="L63" s="17" t="s">
        <v>1140</v>
      </c>
      <c r="M63" s="95">
        <v>44239.0625</v>
      </c>
      <c r="N63" s="35" t="str">
        <f>IF(ReloadStatusTable[[#This Row],[DWH Infocast Jobname]]="N/A","N/A",IF(ReloadStatusTable[[#This Row],[DWH Infocast File Actual Delivery Time (MT)]]="","not delivered yet","Delivered"))</f>
        <v>not delivered yet</v>
      </c>
      <c r="O6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3" s="20" t="e">
        <f>ReloadStatusTable[[#This Row],[DWH Infocast File Actual Delivery Time (MT)]] + 1/24</f>
        <v>#VALUE!</v>
      </c>
      <c r="Q63" s="52"/>
      <c r="R63" s="86"/>
      <c r="S63">
        <v>3160</v>
      </c>
      <c r="T63">
        <v>24600</v>
      </c>
    </row>
    <row r="64" spans="1:20" ht="26.25" customHeight="1" x14ac:dyDescent="0.3">
      <c r="A64" s="56" t="s">
        <v>8</v>
      </c>
      <c r="B64" s="6" t="s">
        <v>1141</v>
      </c>
      <c r="C64" s="6" t="s">
        <v>1142</v>
      </c>
      <c r="D64" s="57" t="str">
        <f>_xlfn.TEXTJOIN("",TRUE, "VIP",ReloadStatusTable[[#This Row],[Abbreviation]],"T")</f>
        <v>VIPCUCT</v>
      </c>
      <c r="E64" s="6" t="s">
        <v>1143</v>
      </c>
      <c r="F64" s="7">
        <v>44238.979166666664</v>
      </c>
      <c r="G64" s="61">
        <f>ReloadStatusTable[[#This Row],[Forecasted Reload Completion Time (MT)]]+1/24</f>
        <v>44239.020833333328</v>
      </c>
      <c r="H64" s="35" t="str">
        <f>IF(ReloadStatusTable[[#This Row],[Actual Completion time (MT)]]="","not done yet","Complete")</f>
        <v>not done yet</v>
      </c>
      <c r="I64" s="7" t="str">
        <f>_xlfn.XLOOKUP(CONCATENATE(ReloadStatusTable[[#This Row],[Table]],TEXT(Process_Date,"yyyy-mm-dd")),'Daily_Completion Status'!F:F,'Daily_Completion Status'!H:H,"",0)</f>
        <v/>
      </c>
      <c r="J64" s="74" t="e">
        <f>ReloadStatusTable[[#This Row],[Actual Completion time (MT)]]+1/24</f>
        <v>#VALUE!</v>
      </c>
      <c r="K6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VAN-INFOCAST-NDW-DEN-CUC-DLY</v>
      </c>
      <c r="L64" s="17" t="s">
        <v>1144</v>
      </c>
      <c r="M64" s="7">
        <v>44239.020833333336</v>
      </c>
      <c r="N64" s="34" t="str">
        <f>IF(ReloadStatusTable[[#This Row],[DWH Infocast Jobname]]="N/A","N/A",IF(ReloadStatusTable[[#This Row],[DWH Infocast File Actual Delivery Time (MT)]]="","not delivered yet","Delivered"))</f>
        <v>not delivered yet</v>
      </c>
      <c r="O6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4" s="20" t="e">
        <f>ReloadStatusTable[[#This Row],[DWH Infocast File Actual Delivery Time (MT)]] + 1/24</f>
        <v>#VALUE!</v>
      </c>
      <c r="Q64" s="52"/>
    </row>
    <row r="65" spans="1:17" ht="26.25" customHeight="1" x14ac:dyDescent="0.3">
      <c r="A65" s="49" t="s">
        <v>369</v>
      </c>
      <c r="B65" s="6" t="s">
        <v>1141</v>
      </c>
      <c r="C65" s="6" t="s">
        <v>1142</v>
      </c>
      <c r="D65" s="58" t="str">
        <f>_xlfn.TEXTJOIN("",TRUE, "VIP",ReloadStatusTable[[#This Row],[Abbreviation]],"T")</f>
        <v>VIPCUCT</v>
      </c>
      <c r="E65" s="6" t="s">
        <v>1143</v>
      </c>
      <c r="F65" s="7">
        <v>44238.979166666664</v>
      </c>
      <c r="G65" s="61">
        <f>ReloadStatusTable[[#This Row],[Forecasted Reload Completion Time (MT)]]+1/24</f>
        <v>44239.020833333328</v>
      </c>
      <c r="H65" s="35" t="str">
        <f>IF(ReloadStatusTable[[#This Row],[Actual Completion time (MT)]]="","not done yet","Complete")</f>
        <v>not done yet</v>
      </c>
      <c r="I65" s="7" t="str">
        <f>_xlfn.XLOOKUP(CONCATENATE(ReloadStatusTable[[#This Row],[Table]],TEXT(Process_Date,"yyyy-mm-dd")),'Daily_Completion Status'!F:F,'Daily_Completion Status'!H:H,"",0)</f>
        <v/>
      </c>
      <c r="J65" s="74" t="e">
        <f>ReloadStatusTable[[#This Row],[Actual Completion time (MT)]]+1/24</f>
        <v>#VALUE!</v>
      </c>
      <c r="K6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VAN-INFOCAST-NDW-SLC-CUC-DLY</v>
      </c>
      <c r="L65" s="17" t="s">
        <v>1144</v>
      </c>
      <c r="M65" s="7">
        <v>44239.020833333336</v>
      </c>
      <c r="N65" s="35" t="str">
        <f>IF(ReloadStatusTable[[#This Row],[DWH Infocast Jobname]]="N/A","N/A",IF(ReloadStatusTable[[#This Row],[DWH Infocast File Actual Delivery Time (MT)]]="","not delivered yet","Delivered"))</f>
        <v>not delivered yet</v>
      </c>
      <c r="O6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5" s="20" t="e">
        <f>ReloadStatusTable[[#This Row],[DWH Infocast File Actual Delivery Time (MT)]] + 1/24</f>
        <v>#VALUE!</v>
      </c>
      <c r="Q65" s="52"/>
    </row>
    <row r="66" spans="1:17" ht="26.25" customHeight="1" x14ac:dyDescent="0.3">
      <c r="A66" s="49" t="s">
        <v>489</v>
      </c>
      <c r="B66" s="6" t="s">
        <v>1141</v>
      </c>
      <c r="C66" s="6" t="s">
        <v>1142</v>
      </c>
      <c r="D66" s="58" t="str">
        <f>_xlfn.TEXTJOIN("",TRUE, "VIP",ReloadStatusTable[[#This Row],[Abbreviation]],"T")</f>
        <v>VIPCUCT</v>
      </c>
      <c r="E66" s="6" t="s">
        <v>1143</v>
      </c>
      <c r="F66" s="7">
        <v>44238.979166666664</v>
      </c>
      <c r="G66" s="61">
        <f>ReloadStatusTable[[#This Row],[Forecasted Reload Completion Time (MT)]]+1/24</f>
        <v>44239.020833333328</v>
      </c>
      <c r="H66" s="35" t="str">
        <f>IF(ReloadStatusTable[[#This Row],[Actual Completion time (MT)]]="","not done yet","Complete")</f>
        <v>not done yet</v>
      </c>
      <c r="I66" s="7" t="str">
        <f>_xlfn.XLOOKUP(CONCATENATE(ReloadStatusTable[[#This Row],[Table]],TEXT(Process_Date,"yyyy-mm-dd")),'Daily_Completion Status'!F:F,'Daily_Completion Status'!H:H,"",0)</f>
        <v/>
      </c>
      <c r="J66" s="74" t="e">
        <f>ReloadStatusTable[[#This Row],[Actual Completion time (MT)]]+1/24</f>
        <v>#VALUE!</v>
      </c>
      <c r="K6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VAN-INFOCAST-NDW-WOM-CUC-DLY</v>
      </c>
      <c r="L66" s="17" t="s">
        <v>1144</v>
      </c>
      <c r="M66" s="7">
        <v>44239.020833333336</v>
      </c>
      <c r="N66" s="35" t="str">
        <f>IF(ReloadStatusTable[[#This Row],[DWH Infocast Jobname]]="N/A","N/A",IF(ReloadStatusTable[[#This Row],[DWH Infocast File Actual Delivery Time (MT)]]="","not delivered yet","Delivered"))</f>
        <v>not delivered yet</v>
      </c>
      <c r="O6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6" s="20" t="e">
        <f>ReloadStatusTable[[#This Row],[DWH Infocast File Actual Delivery Time (MT)]] + 1/24</f>
        <v>#VALUE!</v>
      </c>
      <c r="Q66" s="52"/>
    </row>
    <row r="67" spans="1:17" ht="26.25" customHeight="1" x14ac:dyDescent="0.3">
      <c r="A67" s="56" t="s">
        <v>8</v>
      </c>
      <c r="B67" s="6" t="s">
        <v>1141</v>
      </c>
      <c r="C67" s="6" t="s">
        <v>1145</v>
      </c>
      <c r="D67" s="57" t="str">
        <f>_xlfn.TEXTJOIN("",TRUE, "VIP",ReloadStatusTable[[#This Row],[Abbreviation]],"T")</f>
        <v>VIPCUST</v>
      </c>
      <c r="E67" s="6" t="s">
        <v>1146</v>
      </c>
      <c r="F67" s="7">
        <v>44238.979166666664</v>
      </c>
      <c r="G67" s="61">
        <f>ReloadStatusTable[[#This Row],[Forecasted Reload Completion Time (MT)]]+1/24</f>
        <v>44239.020833333328</v>
      </c>
      <c r="H67" s="35" t="str">
        <f>IF(ReloadStatusTable[[#This Row],[Actual Completion time (MT)]]="","not done yet","Complete")</f>
        <v>not done yet</v>
      </c>
      <c r="I67" s="7" t="str">
        <f>_xlfn.XLOOKUP(CONCATENATE(ReloadStatusTable[[#This Row],[Table]],TEXT(Process_Date,"yyyy-mm-dd")),'Daily_Completion Status'!F:F,'Daily_Completion Status'!H:H,"",0)</f>
        <v/>
      </c>
      <c r="J67" s="74" t="e">
        <f>ReloadStatusTable[[#This Row],[Actual Completion time (MT)]]+1/24</f>
        <v>#VALUE!</v>
      </c>
      <c r="K6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VAN-INFOCAST-NDW-DEN-CUS-DLY</v>
      </c>
      <c r="L67" s="17" t="s">
        <v>1147</v>
      </c>
      <c r="M67" s="7">
        <v>44239.020833333336</v>
      </c>
      <c r="N67" s="34" t="str">
        <f>IF(ReloadStatusTable[[#This Row],[DWH Infocast Jobname]]="N/A","N/A",IF(ReloadStatusTable[[#This Row],[DWH Infocast File Actual Delivery Time (MT)]]="","not delivered yet","Delivered"))</f>
        <v>not delivered yet</v>
      </c>
      <c r="O6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7" s="20" t="e">
        <f>ReloadStatusTable[[#This Row],[DWH Infocast File Actual Delivery Time (MT)]] + 1/24</f>
        <v>#VALUE!</v>
      </c>
      <c r="Q67" s="52"/>
    </row>
    <row r="68" spans="1:17" ht="26.25" customHeight="1" x14ac:dyDescent="0.3">
      <c r="A68" s="49" t="s">
        <v>369</v>
      </c>
      <c r="B68" s="6" t="s">
        <v>1141</v>
      </c>
      <c r="C68" s="6" t="s">
        <v>1145</v>
      </c>
      <c r="D68" s="58" t="str">
        <f>_xlfn.TEXTJOIN("",TRUE, "VIP",ReloadStatusTable[[#This Row],[Abbreviation]],"T")</f>
        <v>VIPCUST</v>
      </c>
      <c r="E68" s="6" t="s">
        <v>1146</v>
      </c>
      <c r="F68" s="7">
        <v>44238.979166666664</v>
      </c>
      <c r="G68" s="61">
        <f>ReloadStatusTable[[#This Row],[Forecasted Reload Completion Time (MT)]]+1/24</f>
        <v>44239.020833333328</v>
      </c>
      <c r="H68" s="35" t="str">
        <f>IF(ReloadStatusTable[[#This Row],[Actual Completion time (MT)]]="","not done yet","Complete")</f>
        <v>not done yet</v>
      </c>
      <c r="I68" s="7" t="str">
        <f>_xlfn.XLOOKUP(CONCATENATE(ReloadStatusTable[[#This Row],[Table]],TEXT(Process_Date,"yyyy-mm-dd")),'Daily_Completion Status'!F:F,'Daily_Completion Status'!H:H,"",0)</f>
        <v/>
      </c>
      <c r="J68" s="74" t="e">
        <f>ReloadStatusTable[[#This Row],[Actual Completion time (MT)]]+1/24</f>
        <v>#VALUE!</v>
      </c>
      <c r="K6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VAN-INFOCAST-NDW-SLC-CUS-DLY</v>
      </c>
      <c r="L68" s="17" t="s">
        <v>1147</v>
      </c>
      <c r="M68" s="7">
        <v>44239.020833333336</v>
      </c>
      <c r="N68" s="35" t="str">
        <f>IF(ReloadStatusTable[[#This Row],[DWH Infocast Jobname]]="N/A","N/A",IF(ReloadStatusTable[[#This Row],[DWH Infocast File Actual Delivery Time (MT)]]="","not delivered yet","Delivered"))</f>
        <v>not delivered yet</v>
      </c>
      <c r="O6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8" s="20" t="e">
        <f>ReloadStatusTable[[#This Row],[DWH Infocast File Actual Delivery Time (MT)]] + 1/24</f>
        <v>#VALUE!</v>
      </c>
      <c r="Q68" s="52"/>
    </row>
    <row r="69" spans="1:17" ht="26.25" customHeight="1" x14ac:dyDescent="0.3">
      <c r="A69" s="49" t="s">
        <v>489</v>
      </c>
      <c r="B69" s="6" t="s">
        <v>1141</v>
      </c>
      <c r="C69" s="6" t="s">
        <v>1145</v>
      </c>
      <c r="D69" s="58" t="str">
        <f>_xlfn.TEXTJOIN("",TRUE, "VIP",ReloadStatusTable[[#This Row],[Abbreviation]],"T")</f>
        <v>VIPCUST</v>
      </c>
      <c r="E69" s="6" t="s">
        <v>1146</v>
      </c>
      <c r="F69" s="7">
        <v>44238.979166666664</v>
      </c>
      <c r="G69" s="61">
        <f>ReloadStatusTable[[#This Row],[Forecasted Reload Completion Time (MT)]]+1/24</f>
        <v>44239.020833333328</v>
      </c>
      <c r="H69" s="35" t="str">
        <f>IF(ReloadStatusTable[[#This Row],[Actual Completion time (MT)]]="","not done yet","Complete")</f>
        <v>not done yet</v>
      </c>
      <c r="I69" s="7" t="str">
        <f>_xlfn.XLOOKUP(CONCATENATE(ReloadStatusTable[[#This Row],[Table]],TEXT(Process_Date,"yyyy-mm-dd")),'Daily_Completion Status'!F:F,'Daily_Completion Status'!H:H,"",0)</f>
        <v/>
      </c>
      <c r="J69" s="74" t="e">
        <f>ReloadStatusTable[[#This Row],[Actual Completion time (MT)]]+1/24</f>
        <v>#VALUE!</v>
      </c>
      <c r="K69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VAN-INFOCAST-NDW-WOM-CUS-DLY</v>
      </c>
      <c r="L69" s="17" t="s">
        <v>1147</v>
      </c>
      <c r="M69" s="7">
        <v>44239.020833333336</v>
      </c>
      <c r="N69" s="35" t="str">
        <f>IF(ReloadStatusTable[[#This Row],[DWH Infocast Jobname]]="N/A","N/A",IF(ReloadStatusTable[[#This Row],[DWH Infocast File Actual Delivery Time (MT)]]="","not delivered yet","Delivered"))</f>
        <v>not delivered yet</v>
      </c>
      <c r="O69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69" s="20" t="e">
        <f>ReloadStatusTable[[#This Row],[DWH Infocast File Actual Delivery Time (MT)]] + 1/24</f>
        <v>#VALUE!</v>
      </c>
      <c r="Q69" s="52"/>
    </row>
    <row r="70" spans="1:17" ht="26.25" customHeight="1" x14ac:dyDescent="0.3">
      <c r="A70" s="56" t="s">
        <v>8</v>
      </c>
      <c r="B70" s="6" t="s">
        <v>1141</v>
      </c>
      <c r="C70" s="6" t="s">
        <v>1148</v>
      </c>
      <c r="D70" s="57" t="str">
        <f>_xlfn.TEXTJOIN("",TRUE, "VIP",ReloadStatusTable[[#This Row],[Abbreviation]],"T")</f>
        <v>VIPECST</v>
      </c>
      <c r="E70" s="6" t="s">
        <v>1149</v>
      </c>
      <c r="F70" s="7">
        <v>44238.979166666664</v>
      </c>
      <c r="G70" s="61">
        <f>ReloadStatusTable[[#This Row],[Forecasted Reload Completion Time (MT)]]+1/24</f>
        <v>44239.020833333328</v>
      </c>
      <c r="H70" s="35" t="str">
        <f>IF(ReloadStatusTable[[#This Row],[Actual Completion time (MT)]]="","not done yet","Complete")</f>
        <v>not done yet</v>
      </c>
      <c r="I70" s="7" t="str">
        <f>_xlfn.XLOOKUP(CONCATENATE(ReloadStatusTable[[#This Row],[Table]],TEXT(Process_Date,"yyyy-mm-dd")),'Daily_Completion Status'!F:F,'Daily_Completion Status'!H:H,"",0)</f>
        <v/>
      </c>
      <c r="J70" s="74" t="e">
        <f>ReloadStatusTable[[#This Row],[Actual Completion time (MT)]]+1/24</f>
        <v>#VALUE!</v>
      </c>
      <c r="K7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VAN-INFOCAST-NDW-DEN-ECS-DLY</v>
      </c>
      <c r="L70" s="28" t="s">
        <v>1085</v>
      </c>
      <c r="M70" s="27" t="s">
        <v>1085</v>
      </c>
      <c r="N70" s="36" t="str">
        <f>IF(ReloadStatusTable[[#This Row],[DWH Infocast Jobname]]="N/A","N/A",IF(ReloadStatusTable[[#This Row],[DWH Infocast File Actual Delivery Time (MT)]]="","not delivered yet","Delivered"))</f>
        <v>not delivered yet</v>
      </c>
      <c r="O7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0" s="29" t="e">
        <f>ReloadStatusTable[[#This Row],[DWH Infocast File Actual Delivery Time (MT)]] + 1/24</f>
        <v>#VALUE!</v>
      </c>
      <c r="Q70" s="52"/>
    </row>
    <row r="71" spans="1:17" ht="26.25" customHeight="1" x14ac:dyDescent="0.3">
      <c r="A71" s="49" t="s">
        <v>369</v>
      </c>
      <c r="B71" s="6" t="s">
        <v>1141</v>
      </c>
      <c r="C71" s="6" t="s">
        <v>1148</v>
      </c>
      <c r="D71" s="58" t="str">
        <f>_xlfn.TEXTJOIN("",TRUE, "VIP",ReloadStatusTable[[#This Row],[Abbreviation]],"T")</f>
        <v>VIPECST</v>
      </c>
      <c r="E71" s="6" t="s">
        <v>1149</v>
      </c>
      <c r="F71" s="7">
        <v>44238.979166666664</v>
      </c>
      <c r="G71" s="61">
        <f>ReloadStatusTable[[#This Row],[Forecasted Reload Completion Time (MT)]]+1/24</f>
        <v>44239.020833333328</v>
      </c>
      <c r="H71" s="35" t="str">
        <f>IF(ReloadStatusTable[[#This Row],[Actual Completion time (MT)]]="","not done yet","Complete")</f>
        <v>not done yet</v>
      </c>
      <c r="I71" s="7" t="str">
        <f>_xlfn.XLOOKUP(CONCATENATE(ReloadStatusTable[[#This Row],[Table]],TEXT(Process_Date,"yyyy-mm-dd")),'Daily_Completion Status'!F:F,'Daily_Completion Status'!H:H,"",0)</f>
        <v/>
      </c>
      <c r="J71" s="74" t="e">
        <f>ReloadStatusTable[[#This Row],[Actual Completion time (MT)]]+1/24</f>
        <v>#VALUE!</v>
      </c>
      <c r="K7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VAN-INFOCAST-NDW-SLC-ECS-DLY</v>
      </c>
      <c r="L71" s="28" t="s">
        <v>1085</v>
      </c>
      <c r="M71" s="27" t="s">
        <v>1085</v>
      </c>
      <c r="N71" s="36" t="str">
        <f>IF(ReloadStatusTable[[#This Row],[DWH Infocast Jobname]]="N/A","N/A",IF(ReloadStatusTable[[#This Row],[DWH Infocast File Actual Delivery Time (MT)]]="","not delivered yet","Delivered"))</f>
        <v>not delivered yet</v>
      </c>
      <c r="O7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1" s="29" t="e">
        <f>ReloadStatusTable[[#This Row],[DWH Infocast File Actual Delivery Time (MT)]] + 1/24</f>
        <v>#VALUE!</v>
      </c>
      <c r="Q71" s="52"/>
    </row>
    <row r="72" spans="1:17" ht="26.25" customHeight="1" x14ac:dyDescent="0.3">
      <c r="A72" s="49" t="s">
        <v>489</v>
      </c>
      <c r="B72" s="6" t="s">
        <v>1141</v>
      </c>
      <c r="C72" s="6" t="s">
        <v>1148</v>
      </c>
      <c r="D72" s="58" t="str">
        <f>_xlfn.TEXTJOIN("",TRUE, "VIP",ReloadStatusTable[[#This Row],[Abbreviation]],"T")</f>
        <v>VIPECST</v>
      </c>
      <c r="E72" s="6" t="s">
        <v>1149</v>
      </c>
      <c r="F72" s="7">
        <v>44238.979166666664</v>
      </c>
      <c r="G72" s="61">
        <f>ReloadStatusTable[[#This Row],[Forecasted Reload Completion Time (MT)]]+1/24</f>
        <v>44239.020833333328</v>
      </c>
      <c r="H72" s="35" t="str">
        <f>IF(ReloadStatusTable[[#This Row],[Actual Completion time (MT)]]="","not done yet","Complete")</f>
        <v>not done yet</v>
      </c>
      <c r="I72" s="7" t="str">
        <f>_xlfn.XLOOKUP(CONCATENATE(ReloadStatusTable[[#This Row],[Table]],TEXT(Process_Date,"yyyy-mm-dd")),'Daily_Completion Status'!F:F,'Daily_Completion Status'!H:H,"",0)</f>
        <v/>
      </c>
      <c r="J72" s="74" t="e">
        <f>ReloadStatusTable[[#This Row],[Actual Completion time (MT)]]+1/24</f>
        <v>#VALUE!</v>
      </c>
      <c r="K72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VAN-INFOCAST-NDW-WOM-ECS-DLY</v>
      </c>
      <c r="L72" s="28" t="s">
        <v>1085</v>
      </c>
      <c r="M72" s="27" t="s">
        <v>1085</v>
      </c>
      <c r="N72" s="36" t="str">
        <f>IF(ReloadStatusTable[[#This Row],[DWH Infocast Jobname]]="N/A","N/A",IF(ReloadStatusTable[[#This Row],[DWH Infocast File Actual Delivery Time (MT)]]="","not delivered yet","Delivered"))</f>
        <v>not delivered yet</v>
      </c>
      <c r="O72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2" s="29" t="e">
        <f>ReloadStatusTable[[#This Row],[DWH Infocast File Actual Delivery Time (MT)]] + 1/24</f>
        <v>#VALUE!</v>
      </c>
      <c r="Q72" s="52"/>
    </row>
    <row r="73" spans="1:17" ht="26.25" customHeight="1" x14ac:dyDescent="0.3">
      <c r="A73" s="56" t="s">
        <v>8</v>
      </c>
      <c r="B73" s="6" t="s">
        <v>1150</v>
      </c>
      <c r="C73" s="6" t="s">
        <v>1151</v>
      </c>
      <c r="D73" s="57" t="str">
        <f>_xlfn.TEXTJOIN("",TRUE, "VIP",ReloadStatusTable[[#This Row],[Abbreviation]],"T")</f>
        <v>VIPESBT</v>
      </c>
      <c r="E73" s="6" t="s">
        <v>1152</v>
      </c>
      <c r="F73" s="7">
        <v>44238.979166666664</v>
      </c>
      <c r="G73" s="61">
        <f>ReloadStatusTable[[#This Row],[Forecasted Reload Completion Time (MT)]]+1/24</f>
        <v>44239.020833333328</v>
      </c>
      <c r="H73" s="35" t="str">
        <f>IF(ReloadStatusTable[[#This Row],[Actual Completion time (MT)]]="","not done yet","Complete")</f>
        <v>not done yet</v>
      </c>
      <c r="I73" s="7" t="str">
        <f>_xlfn.XLOOKUP(CONCATENATE(ReloadStatusTable[[#This Row],[Table]],TEXT(Process_Date,"yyyy-mm-dd")),'Daily_Completion Status'!F:F,'Daily_Completion Status'!H:H,"",0)</f>
        <v/>
      </c>
      <c r="J73" s="74" t="e">
        <f>ReloadStatusTable[[#This Row],[Actual Completion time (MT)]]+1/24</f>
        <v>#VALUE!</v>
      </c>
      <c r="K7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VAN-INFOCAST-NDW-DEN-ESB-DLY</v>
      </c>
      <c r="L73" s="28" t="s">
        <v>1085</v>
      </c>
      <c r="M73" s="27" t="s">
        <v>1085</v>
      </c>
      <c r="N73" s="36" t="str">
        <f>IF(ReloadStatusTable[[#This Row],[DWH Infocast Jobname]]="N/A","N/A",IF(ReloadStatusTable[[#This Row],[DWH Infocast File Actual Delivery Time (MT)]]="","not delivered yet","Delivered"))</f>
        <v>not delivered yet</v>
      </c>
      <c r="O7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3" s="29" t="e">
        <f>ReloadStatusTable[[#This Row],[DWH Infocast File Actual Delivery Time (MT)]] + 1/24</f>
        <v>#VALUE!</v>
      </c>
      <c r="Q73" s="52"/>
    </row>
    <row r="74" spans="1:17" ht="26.25" customHeight="1" x14ac:dyDescent="0.3">
      <c r="A74" s="49" t="s">
        <v>369</v>
      </c>
      <c r="B74" s="6" t="s">
        <v>1150</v>
      </c>
      <c r="C74" s="6" t="s">
        <v>1151</v>
      </c>
      <c r="D74" s="58" t="str">
        <f>_xlfn.TEXTJOIN("",TRUE, "VIP",ReloadStatusTable[[#This Row],[Abbreviation]],"T")</f>
        <v>VIPESBT</v>
      </c>
      <c r="E74" s="6" t="s">
        <v>1152</v>
      </c>
      <c r="F74" s="7">
        <v>44238.979166666664</v>
      </c>
      <c r="G74" s="61">
        <f>ReloadStatusTable[[#This Row],[Forecasted Reload Completion Time (MT)]]+1/24</f>
        <v>44239.020833333328</v>
      </c>
      <c r="H74" s="35" t="str">
        <f>IF(ReloadStatusTable[[#This Row],[Actual Completion time (MT)]]="","not done yet","Complete")</f>
        <v>not done yet</v>
      </c>
      <c r="I74" s="7" t="str">
        <f>_xlfn.XLOOKUP(CONCATENATE(ReloadStatusTable[[#This Row],[Table]],TEXT(Process_Date,"yyyy-mm-dd")),'Daily_Completion Status'!F:F,'Daily_Completion Status'!H:H,"",0)</f>
        <v/>
      </c>
      <c r="J74" s="74" t="e">
        <f>ReloadStatusTable[[#This Row],[Actual Completion time (MT)]]+1/24</f>
        <v>#VALUE!</v>
      </c>
      <c r="K7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VAN-INFOCAST-NDW-SLC-ESB-DLY</v>
      </c>
      <c r="L74" s="28" t="s">
        <v>1085</v>
      </c>
      <c r="M74" s="27" t="s">
        <v>1085</v>
      </c>
      <c r="N74" s="36" t="str">
        <f>IF(ReloadStatusTable[[#This Row],[DWH Infocast Jobname]]="N/A","N/A",IF(ReloadStatusTable[[#This Row],[DWH Infocast File Actual Delivery Time (MT)]]="","not delivered yet","Delivered"))</f>
        <v>not delivered yet</v>
      </c>
      <c r="O7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4" s="29" t="e">
        <f>ReloadStatusTable[[#This Row],[DWH Infocast File Actual Delivery Time (MT)]] + 1/24</f>
        <v>#VALUE!</v>
      </c>
      <c r="Q74" s="52"/>
    </row>
    <row r="75" spans="1:17" ht="26.25" customHeight="1" x14ac:dyDescent="0.3">
      <c r="A75" s="49" t="s">
        <v>489</v>
      </c>
      <c r="B75" s="6" t="s">
        <v>1150</v>
      </c>
      <c r="C75" s="6" t="s">
        <v>1151</v>
      </c>
      <c r="D75" s="58" t="str">
        <f>_xlfn.TEXTJOIN("",TRUE, "VIP",ReloadStatusTable[[#This Row],[Abbreviation]],"T")</f>
        <v>VIPESBT</v>
      </c>
      <c r="E75" s="6" t="s">
        <v>1152</v>
      </c>
      <c r="F75" s="7">
        <v>44238.979166666664</v>
      </c>
      <c r="G75" s="61">
        <f>ReloadStatusTable[[#This Row],[Forecasted Reload Completion Time (MT)]]+1/24</f>
        <v>44239.020833333328</v>
      </c>
      <c r="H75" s="35" t="str">
        <f>IF(ReloadStatusTable[[#This Row],[Actual Completion time (MT)]]="","not done yet","Complete")</f>
        <v>not done yet</v>
      </c>
      <c r="I75" s="7" t="str">
        <f>_xlfn.XLOOKUP(CONCATENATE(ReloadStatusTable[[#This Row],[Table]],TEXT(Process_Date,"yyyy-mm-dd")),'Daily_Completion Status'!F:F,'Daily_Completion Status'!H:H,"",0)</f>
        <v/>
      </c>
      <c r="J75" s="74" t="e">
        <f>ReloadStatusTable[[#This Row],[Actual Completion time (MT)]]+1/24</f>
        <v>#VALUE!</v>
      </c>
      <c r="K7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VAN-INFOCAST-NDW-WOM-ESB-DLY</v>
      </c>
      <c r="L75" s="28" t="s">
        <v>1085</v>
      </c>
      <c r="M75" s="27" t="s">
        <v>1085</v>
      </c>
      <c r="N75" s="36" t="str">
        <f>IF(ReloadStatusTable[[#This Row],[DWH Infocast Jobname]]="N/A","N/A",IF(ReloadStatusTable[[#This Row],[DWH Infocast File Actual Delivery Time (MT)]]="","not delivered yet","Delivered"))</f>
        <v>not delivered yet</v>
      </c>
      <c r="O7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5" s="29" t="e">
        <f>ReloadStatusTable[[#This Row],[DWH Infocast File Actual Delivery Time (MT)]] + 1/24</f>
        <v>#VALUE!</v>
      </c>
      <c r="Q75" s="52"/>
    </row>
    <row r="76" spans="1:17" ht="26.25" customHeight="1" x14ac:dyDescent="0.3">
      <c r="A76" s="56" t="s">
        <v>8</v>
      </c>
      <c r="B76" s="6" t="s">
        <v>1150</v>
      </c>
      <c r="C76" s="6" t="s">
        <v>1153</v>
      </c>
      <c r="D76" s="57" t="str">
        <f>_xlfn.TEXTJOIN("",TRUE, "VIP",ReloadStatusTable[[#This Row],[Abbreviation]],"T")</f>
        <v>VIPSBOT</v>
      </c>
      <c r="E76" s="6" t="s">
        <v>1154</v>
      </c>
      <c r="F76" s="7">
        <v>44238.979166666664</v>
      </c>
      <c r="G76" s="61">
        <f>ReloadStatusTable[[#This Row],[Forecasted Reload Completion Time (MT)]]+1/24</f>
        <v>44239.020833333328</v>
      </c>
      <c r="H76" s="35" t="str">
        <f>IF(ReloadStatusTable[[#This Row],[Actual Completion time (MT)]]="","not done yet","Complete")</f>
        <v>not done yet</v>
      </c>
      <c r="I76" s="7" t="str">
        <f>_xlfn.XLOOKUP(CONCATENATE(ReloadStatusTable[[#This Row],[Table]],TEXT(Process_Date,"yyyy-mm-dd")),'Daily_Completion Status'!F:F,'Daily_Completion Status'!H:H,"",0)</f>
        <v/>
      </c>
      <c r="J76" s="74" t="e">
        <f>ReloadStatusTable[[#This Row],[Actual Completion time (MT)]]+1/24</f>
        <v>#VALUE!</v>
      </c>
      <c r="K7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VAN-INFOCAST-NDW-DEN-SBO-DLY</v>
      </c>
      <c r="L76" s="28" t="s">
        <v>1085</v>
      </c>
      <c r="M76" s="27" t="s">
        <v>1085</v>
      </c>
      <c r="N76" s="36" t="str">
        <f>IF(ReloadStatusTable[[#This Row],[DWH Infocast Jobname]]="N/A","N/A",IF(ReloadStatusTable[[#This Row],[DWH Infocast File Actual Delivery Time (MT)]]="","not delivered yet","Delivered"))</f>
        <v>not delivered yet</v>
      </c>
      <c r="O7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6" s="29" t="e">
        <f>ReloadStatusTable[[#This Row],[DWH Infocast File Actual Delivery Time (MT)]] + 1/24</f>
        <v>#VALUE!</v>
      </c>
      <c r="Q76" s="52"/>
    </row>
    <row r="77" spans="1:17" ht="26.25" customHeight="1" x14ac:dyDescent="0.3">
      <c r="A77" s="49" t="s">
        <v>369</v>
      </c>
      <c r="B77" s="6" t="s">
        <v>1150</v>
      </c>
      <c r="C77" s="6" t="s">
        <v>1153</v>
      </c>
      <c r="D77" s="58" t="str">
        <f>_xlfn.TEXTJOIN("",TRUE, "VIP",ReloadStatusTable[[#This Row],[Abbreviation]],"T")</f>
        <v>VIPSBOT</v>
      </c>
      <c r="E77" s="6" t="s">
        <v>1154</v>
      </c>
      <c r="F77" s="7">
        <v>44238.979166666664</v>
      </c>
      <c r="G77" s="61">
        <f>ReloadStatusTable[[#This Row],[Forecasted Reload Completion Time (MT)]]+1/24</f>
        <v>44239.020833333328</v>
      </c>
      <c r="H77" s="35" t="str">
        <f>IF(ReloadStatusTable[[#This Row],[Actual Completion time (MT)]]="","not done yet","Complete")</f>
        <v>not done yet</v>
      </c>
      <c r="I77" s="7" t="str">
        <f>_xlfn.XLOOKUP(CONCATENATE(ReloadStatusTable[[#This Row],[Table]],TEXT(Process_Date,"yyyy-mm-dd")),'Daily_Completion Status'!F:F,'Daily_Completion Status'!H:H,"",0)</f>
        <v/>
      </c>
      <c r="J77" s="74" t="e">
        <f>ReloadStatusTable[[#This Row],[Actual Completion time (MT)]]+1/24</f>
        <v>#VALUE!</v>
      </c>
      <c r="K7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VAN-INFOCAST-NDW-SLC-SBO-DLY</v>
      </c>
      <c r="L77" s="28" t="s">
        <v>1085</v>
      </c>
      <c r="M77" s="27" t="s">
        <v>1085</v>
      </c>
      <c r="N77" s="36" t="str">
        <f>IF(ReloadStatusTable[[#This Row],[DWH Infocast Jobname]]="N/A","N/A",IF(ReloadStatusTable[[#This Row],[DWH Infocast File Actual Delivery Time (MT)]]="","not delivered yet","Delivered"))</f>
        <v>not delivered yet</v>
      </c>
      <c r="O7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7" s="29" t="e">
        <f>ReloadStatusTable[[#This Row],[DWH Infocast File Actual Delivery Time (MT)]] + 1/24</f>
        <v>#VALUE!</v>
      </c>
      <c r="Q77" s="52"/>
    </row>
    <row r="78" spans="1:17" ht="26.25" customHeight="1" x14ac:dyDescent="0.3">
      <c r="A78" s="49" t="s">
        <v>489</v>
      </c>
      <c r="B78" s="6" t="s">
        <v>1150</v>
      </c>
      <c r="C78" s="6" t="s">
        <v>1153</v>
      </c>
      <c r="D78" s="58" t="str">
        <f>_xlfn.TEXTJOIN("",TRUE, "VIP",ReloadStatusTable[[#This Row],[Abbreviation]],"T")</f>
        <v>VIPSBOT</v>
      </c>
      <c r="E78" s="6" t="s">
        <v>1154</v>
      </c>
      <c r="F78" s="7">
        <v>44238.979166666664</v>
      </c>
      <c r="G78" s="61">
        <f>ReloadStatusTable[[#This Row],[Forecasted Reload Completion Time (MT)]]+1/24</f>
        <v>44239.020833333328</v>
      </c>
      <c r="H78" s="35" t="str">
        <f>IF(ReloadStatusTable[[#This Row],[Actual Completion time (MT)]]="","not done yet","Complete")</f>
        <v>not done yet</v>
      </c>
      <c r="I78" s="7" t="str">
        <f>_xlfn.XLOOKUP(CONCATENATE(ReloadStatusTable[[#This Row],[Table]],TEXT(Process_Date,"yyyy-mm-dd")),'Daily_Completion Status'!F:F,'Daily_Completion Status'!H:H,"",0)</f>
        <v/>
      </c>
      <c r="J78" s="74" t="e">
        <f>ReloadStatusTable[[#This Row],[Actual Completion time (MT)]]+1/24</f>
        <v>#VALUE!</v>
      </c>
      <c r="K7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VAN-INFOCAST-NDW-WOM-SBO-DLY</v>
      </c>
      <c r="L78" s="28" t="s">
        <v>1085</v>
      </c>
      <c r="M78" s="27" t="s">
        <v>1085</v>
      </c>
      <c r="N78" s="36" t="str">
        <f>IF(ReloadStatusTable[[#This Row],[DWH Infocast Jobname]]="N/A","N/A",IF(ReloadStatusTable[[#This Row],[DWH Infocast File Actual Delivery Time (MT)]]="","not delivered yet","Delivered"))</f>
        <v>not delivered yet</v>
      </c>
      <c r="O7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8" s="29" t="e">
        <f>ReloadStatusTable[[#This Row],[DWH Infocast File Actual Delivery Time (MT)]] + 1/24</f>
        <v>#VALUE!</v>
      </c>
      <c r="Q78" s="52"/>
    </row>
    <row r="79" spans="1:17" ht="26.25" customHeight="1" x14ac:dyDescent="0.3">
      <c r="A79" s="56" t="s">
        <v>8</v>
      </c>
      <c r="B79" s="6" t="s">
        <v>1150</v>
      </c>
      <c r="C79" s="6" t="s">
        <v>1155</v>
      </c>
      <c r="D79" s="57" t="str">
        <f>_xlfn.TEXTJOIN("",TRUE, "VIP",ReloadStatusTable[[#This Row],[Abbreviation]],"T")</f>
        <v>VIPSBTT</v>
      </c>
      <c r="E79" s="6" t="s">
        <v>1156</v>
      </c>
      <c r="F79" s="7">
        <v>44238.979166666664</v>
      </c>
      <c r="G79" s="61">
        <f>ReloadStatusTable[[#This Row],[Forecasted Reload Completion Time (MT)]]+1/24</f>
        <v>44239.020833333328</v>
      </c>
      <c r="H79" s="35" t="str">
        <f>IF(ReloadStatusTable[[#This Row],[Actual Completion time (MT)]]="","not done yet","Complete")</f>
        <v>not done yet</v>
      </c>
      <c r="I79" s="7" t="str">
        <f>_xlfn.XLOOKUP(CONCATENATE(ReloadStatusTable[[#This Row],[Table]],TEXT(Process_Date,"yyyy-mm-dd")),'Daily_Completion Status'!F:F,'Daily_Completion Status'!H:H,"",0)</f>
        <v/>
      </c>
      <c r="J79" s="74" t="e">
        <f>ReloadStatusTable[[#This Row],[Actual Completion time (MT)]]+1/24</f>
        <v>#VALUE!</v>
      </c>
      <c r="K7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VAN-INFOCAST-NDW-DEN-SBT-DLY</v>
      </c>
      <c r="L79" s="28" t="s">
        <v>1085</v>
      </c>
      <c r="M79" s="27" t="s">
        <v>1085</v>
      </c>
      <c r="N79" s="36" t="str">
        <f>IF(ReloadStatusTable[[#This Row],[DWH Infocast Jobname]]="N/A","N/A",IF(ReloadStatusTable[[#This Row],[DWH Infocast File Actual Delivery Time (MT)]]="","not delivered yet","Delivered"))</f>
        <v>not delivered yet</v>
      </c>
      <c r="O7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79" s="29" t="e">
        <f>ReloadStatusTable[[#This Row],[DWH Infocast File Actual Delivery Time (MT)]] + 1/24</f>
        <v>#VALUE!</v>
      </c>
      <c r="Q79" s="52"/>
    </row>
    <row r="80" spans="1:17" ht="26.25" customHeight="1" x14ac:dyDescent="0.3">
      <c r="A80" s="49" t="s">
        <v>369</v>
      </c>
      <c r="B80" s="6" t="s">
        <v>1150</v>
      </c>
      <c r="C80" s="6" t="s">
        <v>1155</v>
      </c>
      <c r="D80" s="58" t="str">
        <f>_xlfn.TEXTJOIN("",TRUE, "VIP",ReloadStatusTable[[#This Row],[Abbreviation]],"T")</f>
        <v>VIPSBTT</v>
      </c>
      <c r="E80" s="6" t="s">
        <v>1156</v>
      </c>
      <c r="F80" s="7">
        <v>44238.979166666664</v>
      </c>
      <c r="G80" s="61">
        <f>ReloadStatusTable[[#This Row],[Forecasted Reload Completion Time (MT)]]+1/24</f>
        <v>44239.020833333328</v>
      </c>
      <c r="H80" s="35" t="str">
        <f>IF(ReloadStatusTable[[#This Row],[Actual Completion time (MT)]]="","not done yet","Complete")</f>
        <v>not done yet</v>
      </c>
      <c r="I80" s="7" t="str">
        <f>_xlfn.XLOOKUP(CONCATENATE(ReloadStatusTable[[#This Row],[Table]],TEXT(Process_Date,"yyyy-mm-dd")),'Daily_Completion Status'!F:F,'Daily_Completion Status'!H:H,"",0)</f>
        <v/>
      </c>
      <c r="J80" s="74" t="e">
        <f>ReloadStatusTable[[#This Row],[Actual Completion time (MT)]]+1/24</f>
        <v>#VALUE!</v>
      </c>
      <c r="K8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VAN-INFOCAST-NDW-SLC-SBT-DLY</v>
      </c>
      <c r="L80" s="28" t="s">
        <v>1085</v>
      </c>
      <c r="M80" s="27" t="s">
        <v>1085</v>
      </c>
      <c r="N80" s="36" t="str">
        <f>IF(ReloadStatusTable[[#This Row],[DWH Infocast Jobname]]="N/A","N/A",IF(ReloadStatusTable[[#This Row],[DWH Infocast File Actual Delivery Time (MT)]]="","not delivered yet","Delivered"))</f>
        <v>not delivered yet</v>
      </c>
      <c r="O8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0" s="29" t="e">
        <f>ReloadStatusTable[[#This Row],[DWH Infocast File Actual Delivery Time (MT)]] + 1/24</f>
        <v>#VALUE!</v>
      </c>
      <c r="Q80" s="52"/>
    </row>
    <row r="81" spans="1:17" ht="26.25" customHeight="1" x14ac:dyDescent="0.3">
      <c r="A81" s="49" t="s">
        <v>489</v>
      </c>
      <c r="B81" s="6" t="s">
        <v>1150</v>
      </c>
      <c r="C81" s="6" t="s">
        <v>1155</v>
      </c>
      <c r="D81" s="58" t="str">
        <f>_xlfn.TEXTJOIN("",TRUE, "VIP",ReloadStatusTable[[#This Row],[Abbreviation]],"T")</f>
        <v>VIPSBTT</v>
      </c>
      <c r="E81" s="6" t="s">
        <v>1156</v>
      </c>
      <c r="F81" s="7">
        <v>44238.979166666664</v>
      </c>
      <c r="G81" s="61">
        <f>ReloadStatusTable[[#This Row],[Forecasted Reload Completion Time (MT)]]+1/24</f>
        <v>44239.020833333328</v>
      </c>
      <c r="H81" s="35" t="str">
        <f>IF(ReloadStatusTable[[#This Row],[Actual Completion time (MT)]]="","not done yet","Complete")</f>
        <v>not done yet</v>
      </c>
      <c r="I81" s="7" t="str">
        <f>_xlfn.XLOOKUP(CONCATENATE(ReloadStatusTable[[#This Row],[Table]],TEXT(Process_Date,"yyyy-mm-dd")),'Daily_Completion Status'!F:F,'Daily_Completion Status'!H:H,"",0)</f>
        <v/>
      </c>
      <c r="J81" s="74" t="e">
        <f>ReloadStatusTable[[#This Row],[Actual Completion time (MT)]]+1/24</f>
        <v>#VALUE!</v>
      </c>
      <c r="K8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VAN-INFOCAST-NDW-WOM-SBT-DLY</v>
      </c>
      <c r="L81" s="28" t="s">
        <v>1085</v>
      </c>
      <c r="M81" s="27" t="s">
        <v>1085</v>
      </c>
      <c r="N81" s="36" t="str">
        <f>IF(ReloadStatusTable[[#This Row],[DWH Infocast Jobname]]="N/A","N/A",IF(ReloadStatusTable[[#This Row],[DWH Infocast File Actual Delivery Time (MT)]]="","not delivered yet","Delivered"))</f>
        <v>not delivered yet</v>
      </c>
      <c r="O8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1" s="29" t="e">
        <f>ReloadStatusTable[[#This Row],[DWH Infocast File Actual Delivery Time (MT)]] + 1/24</f>
        <v>#VALUE!</v>
      </c>
      <c r="Q81" s="52"/>
    </row>
    <row r="82" spans="1:17" ht="26.25" customHeight="1" x14ac:dyDescent="0.3">
      <c r="A82" s="56" t="s">
        <v>8</v>
      </c>
      <c r="B82" s="6" t="s">
        <v>1150</v>
      </c>
      <c r="C82" s="6" t="s">
        <v>1157</v>
      </c>
      <c r="D82" s="57" t="str">
        <f>_xlfn.TEXTJOIN("",TRUE, "VIP",ReloadStatusTable[[#This Row],[Abbreviation]],"T")</f>
        <v>VIPSBUT</v>
      </c>
      <c r="E82" s="6" t="s">
        <v>1158</v>
      </c>
      <c r="F82" s="7">
        <v>44238.979166666664</v>
      </c>
      <c r="G82" s="61">
        <f>ReloadStatusTable[[#This Row],[Forecasted Reload Completion Time (MT)]]+1/24</f>
        <v>44239.020833333328</v>
      </c>
      <c r="H82" s="35" t="str">
        <f>IF(ReloadStatusTable[[#This Row],[Actual Completion time (MT)]]="","not done yet","Complete")</f>
        <v>not done yet</v>
      </c>
      <c r="I82" s="7" t="str">
        <f>_xlfn.XLOOKUP(CONCATENATE(ReloadStatusTable[[#This Row],[Table]],TEXT(Process_Date,"yyyy-mm-dd")),'Daily_Completion Status'!F:F,'Daily_Completion Status'!H:H,"",0)</f>
        <v/>
      </c>
      <c r="J82" s="74" t="e">
        <f>ReloadStatusTable[[#This Row],[Actual Completion time (MT)]]+1/24</f>
        <v>#VALUE!</v>
      </c>
      <c r="K82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VAN-INFOCAST-NDW-DEN-SBU-DLY</v>
      </c>
      <c r="L82" s="28" t="s">
        <v>1085</v>
      </c>
      <c r="M82" s="27" t="s">
        <v>1085</v>
      </c>
      <c r="N82" s="36" t="str">
        <f>IF(ReloadStatusTable[[#This Row],[DWH Infocast Jobname]]="N/A","N/A",IF(ReloadStatusTable[[#This Row],[DWH Infocast File Actual Delivery Time (MT)]]="","not delivered yet","Delivered"))</f>
        <v>not delivered yet</v>
      </c>
      <c r="O82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2" s="29" t="e">
        <f>ReloadStatusTable[[#This Row],[DWH Infocast File Actual Delivery Time (MT)]] + 1/24</f>
        <v>#VALUE!</v>
      </c>
      <c r="Q82" s="52"/>
    </row>
    <row r="83" spans="1:17" ht="26.25" customHeight="1" x14ac:dyDescent="0.3">
      <c r="A83" s="49" t="s">
        <v>369</v>
      </c>
      <c r="B83" s="6" t="s">
        <v>1150</v>
      </c>
      <c r="C83" s="6" t="s">
        <v>1157</v>
      </c>
      <c r="D83" s="58" t="str">
        <f>_xlfn.TEXTJOIN("",TRUE, "VIP",ReloadStatusTable[[#This Row],[Abbreviation]],"T")</f>
        <v>VIPSBUT</v>
      </c>
      <c r="E83" s="6" t="s">
        <v>1158</v>
      </c>
      <c r="F83" s="7">
        <v>44238.979166666664</v>
      </c>
      <c r="G83" s="61">
        <f>ReloadStatusTable[[#This Row],[Forecasted Reload Completion Time (MT)]]+1/24</f>
        <v>44239.020833333328</v>
      </c>
      <c r="H83" s="35" t="str">
        <f>IF(ReloadStatusTable[[#This Row],[Actual Completion time (MT)]]="","not done yet","Complete")</f>
        <v>not done yet</v>
      </c>
      <c r="I83" s="7" t="str">
        <f>_xlfn.XLOOKUP(CONCATENATE(ReloadStatusTable[[#This Row],[Table]],TEXT(Process_Date,"yyyy-mm-dd")),'Daily_Completion Status'!F:F,'Daily_Completion Status'!H:H,"",0)</f>
        <v/>
      </c>
      <c r="J83" s="74" t="e">
        <f>ReloadStatusTable[[#This Row],[Actual Completion time (MT)]]+1/24</f>
        <v>#VALUE!</v>
      </c>
      <c r="K8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VAN-INFOCAST-NDW-SLC-SBU-DLY</v>
      </c>
      <c r="L83" s="28" t="s">
        <v>1085</v>
      </c>
      <c r="M83" s="27" t="s">
        <v>1085</v>
      </c>
      <c r="N83" s="36" t="str">
        <f>IF(ReloadStatusTable[[#This Row],[DWH Infocast Jobname]]="N/A","N/A",IF(ReloadStatusTable[[#This Row],[DWH Infocast File Actual Delivery Time (MT)]]="","not delivered yet","Delivered"))</f>
        <v>not delivered yet</v>
      </c>
      <c r="O8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3" s="29" t="e">
        <f>ReloadStatusTable[[#This Row],[DWH Infocast File Actual Delivery Time (MT)]] + 1/24</f>
        <v>#VALUE!</v>
      </c>
      <c r="Q83" s="52"/>
    </row>
    <row r="84" spans="1:17" ht="26.25" customHeight="1" x14ac:dyDescent="0.3">
      <c r="A84" s="49" t="s">
        <v>489</v>
      </c>
      <c r="B84" s="6" t="s">
        <v>1150</v>
      </c>
      <c r="C84" s="6" t="s">
        <v>1157</v>
      </c>
      <c r="D84" s="58" t="str">
        <f>_xlfn.TEXTJOIN("",TRUE, "VIP",ReloadStatusTable[[#This Row],[Abbreviation]],"T")</f>
        <v>VIPSBUT</v>
      </c>
      <c r="E84" s="6" t="s">
        <v>1158</v>
      </c>
      <c r="F84" s="7">
        <v>44238.979166666664</v>
      </c>
      <c r="G84" s="61">
        <f>ReloadStatusTable[[#This Row],[Forecasted Reload Completion Time (MT)]]+1/24</f>
        <v>44239.020833333328</v>
      </c>
      <c r="H84" s="35" t="str">
        <f>IF(ReloadStatusTable[[#This Row],[Actual Completion time (MT)]]="","not done yet","Complete")</f>
        <v>not done yet</v>
      </c>
      <c r="I84" s="7" t="str">
        <f>_xlfn.XLOOKUP(CONCATENATE(ReloadStatusTable[[#This Row],[Table]],TEXT(Process_Date,"yyyy-mm-dd")),'Daily_Completion Status'!F:F,'Daily_Completion Status'!H:H,"",0)</f>
        <v/>
      </c>
      <c r="J84" s="74" t="e">
        <f>ReloadStatusTable[[#This Row],[Actual Completion time (MT)]]+1/24</f>
        <v>#VALUE!</v>
      </c>
      <c r="K8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VAN-INFOCAST-NDW-WOM-SBU-DLY</v>
      </c>
      <c r="L84" s="28" t="s">
        <v>1085</v>
      </c>
      <c r="M84" s="27" t="s">
        <v>1085</v>
      </c>
      <c r="N84" s="36" t="str">
        <f>IF(ReloadStatusTable[[#This Row],[DWH Infocast Jobname]]="N/A","N/A",IF(ReloadStatusTable[[#This Row],[DWH Infocast File Actual Delivery Time (MT)]]="","not delivered yet","Delivered"))</f>
        <v>not delivered yet</v>
      </c>
      <c r="O8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4" s="29" t="e">
        <f>ReloadStatusTable[[#This Row],[DWH Infocast File Actual Delivery Time (MT)]] + 1/24</f>
        <v>#VALUE!</v>
      </c>
      <c r="Q84" s="52"/>
    </row>
    <row r="85" spans="1:17" ht="26.25" customHeight="1" x14ac:dyDescent="0.3">
      <c r="A85" s="56" t="s">
        <v>8</v>
      </c>
      <c r="B85" s="6" t="s">
        <v>1150</v>
      </c>
      <c r="C85" s="6" t="s">
        <v>1159</v>
      </c>
      <c r="D85" s="57" t="str">
        <f>_xlfn.TEXTJOIN("",TRUE, "VIP",ReloadStatusTable[[#This Row],[Abbreviation]],"T")</f>
        <v>VIPSBBT</v>
      </c>
      <c r="E85" s="6" t="s">
        <v>1160</v>
      </c>
      <c r="F85" s="7">
        <v>44238.979166666664</v>
      </c>
      <c r="G85" s="61">
        <f>ReloadStatusTable[[#This Row],[Forecasted Reload Completion Time (MT)]]+1/24</f>
        <v>44239.020833333328</v>
      </c>
      <c r="H85" s="35" t="str">
        <f>IF(ReloadStatusTable[[#This Row],[Actual Completion time (MT)]]="","not done yet","Complete")</f>
        <v>not done yet</v>
      </c>
      <c r="I85" s="7" t="str">
        <f>_xlfn.XLOOKUP(CONCATENATE(ReloadStatusTable[[#This Row],[Table]],TEXT(Process_Date,"yyyy-mm-dd")),'Daily_Completion Status'!F:F,'Daily_Completion Status'!H:H,"",0)</f>
        <v/>
      </c>
      <c r="J85" s="74" t="e">
        <f>ReloadStatusTable[[#This Row],[Actual Completion time (MT)]]+1/24</f>
        <v>#VALUE!</v>
      </c>
      <c r="K8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VAN-INFOCAST-NDW-DEN-SBB-DLY</v>
      </c>
      <c r="L85" s="28" t="s">
        <v>1085</v>
      </c>
      <c r="M85" s="27" t="s">
        <v>1085</v>
      </c>
      <c r="N85" s="36" t="str">
        <f>IF(ReloadStatusTable[[#This Row],[DWH Infocast Jobname]]="N/A","N/A",IF(ReloadStatusTable[[#This Row],[DWH Infocast File Actual Delivery Time (MT)]]="","not delivered yet","Delivered"))</f>
        <v>not delivered yet</v>
      </c>
      <c r="O8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5" s="29" t="e">
        <f>ReloadStatusTable[[#This Row],[DWH Infocast File Actual Delivery Time (MT)]] + 1/24</f>
        <v>#VALUE!</v>
      </c>
      <c r="Q85" s="52"/>
    </row>
    <row r="86" spans="1:17" ht="26.25" customHeight="1" x14ac:dyDescent="0.3">
      <c r="A86" s="49" t="s">
        <v>369</v>
      </c>
      <c r="B86" s="6" t="s">
        <v>1150</v>
      </c>
      <c r="C86" s="6" t="s">
        <v>1159</v>
      </c>
      <c r="D86" s="58" t="str">
        <f>_xlfn.TEXTJOIN("",TRUE, "VIP",ReloadStatusTable[[#This Row],[Abbreviation]],"T")</f>
        <v>VIPSBBT</v>
      </c>
      <c r="E86" s="6" t="s">
        <v>1160</v>
      </c>
      <c r="F86" s="7">
        <v>44238.979166666664</v>
      </c>
      <c r="G86" s="61">
        <f>ReloadStatusTable[[#This Row],[Forecasted Reload Completion Time (MT)]]+1/24</f>
        <v>44239.020833333328</v>
      </c>
      <c r="H86" s="35" t="str">
        <f>IF(ReloadStatusTable[[#This Row],[Actual Completion time (MT)]]="","not done yet","Complete")</f>
        <v>not done yet</v>
      </c>
      <c r="I86" s="7" t="str">
        <f>_xlfn.XLOOKUP(CONCATENATE(ReloadStatusTable[[#This Row],[Table]],TEXT(Process_Date,"yyyy-mm-dd")),'Daily_Completion Status'!F:F,'Daily_Completion Status'!H:H,"",0)</f>
        <v/>
      </c>
      <c r="J86" s="74" t="e">
        <f>ReloadStatusTable[[#This Row],[Actual Completion time (MT)]]+1/24</f>
        <v>#VALUE!</v>
      </c>
      <c r="K8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VAN-INFOCAST-NDW-SLC-SBB-DLY</v>
      </c>
      <c r="L86" s="28" t="s">
        <v>1085</v>
      </c>
      <c r="M86" s="27" t="s">
        <v>1085</v>
      </c>
      <c r="N86" s="36" t="str">
        <f>IF(ReloadStatusTable[[#This Row],[DWH Infocast Jobname]]="N/A","N/A",IF(ReloadStatusTable[[#This Row],[DWH Infocast File Actual Delivery Time (MT)]]="","not delivered yet","Delivered"))</f>
        <v>not delivered yet</v>
      </c>
      <c r="O8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6" s="29" t="e">
        <f>ReloadStatusTable[[#This Row],[DWH Infocast File Actual Delivery Time (MT)]] + 1/24</f>
        <v>#VALUE!</v>
      </c>
      <c r="Q86" s="52"/>
    </row>
    <row r="87" spans="1:17" ht="26.25" customHeight="1" x14ac:dyDescent="0.3">
      <c r="A87" s="49" t="s">
        <v>489</v>
      </c>
      <c r="B87" s="6" t="s">
        <v>1150</v>
      </c>
      <c r="C87" s="6" t="s">
        <v>1159</v>
      </c>
      <c r="D87" s="58" t="str">
        <f>_xlfn.TEXTJOIN("",TRUE, "VIP",ReloadStatusTable[[#This Row],[Abbreviation]],"T")</f>
        <v>VIPSBBT</v>
      </c>
      <c r="E87" s="6" t="s">
        <v>1160</v>
      </c>
      <c r="F87" s="7">
        <v>44238.979166666664</v>
      </c>
      <c r="G87" s="61">
        <f>ReloadStatusTable[[#This Row],[Forecasted Reload Completion Time (MT)]]+1/24</f>
        <v>44239.020833333328</v>
      </c>
      <c r="H87" s="35" t="str">
        <f>IF(ReloadStatusTable[[#This Row],[Actual Completion time (MT)]]="","not done yet","Complete")</f>
        <v>not done yet</v>
      </c>
      <c r="I87" s="7" t="str">
        <f>_xlfn.XLOOKUP(CONCATENATE(ReloadStatusTable[[#This Row],[Table]],TEXT(Process_Date,"yyyy-mm-dd")),'Daily_Completion Status'!F:F,'Daily_Completion Status'!H:H,"",0)</f>
        <v/>
      </c>
      <c r="J87" s="74" t="e">
        <f>ReloadStatusTable[[#This Row],[Actual Completion time (MT)]]+1/24</f>
        <v>#VALUE!</v>
      </c>
      <c r="K8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VAN-INFOCAST-NDW-WOM-SBB-DLY</v>
      </c>
      <c r="L87" s="28" t="s">
        <v>1085</v>
      </c>
      <c r="M87" s="27" t="s">
        <v>1085</v>
      </c>
      <c r="N87" s="36" t="str">
        <f>IF(ReloadStatusTable[[#This Row],[DWH Infocast Jobname]]="N/A","N/A",IF(ReloadStatusTable[[#This Row],[DWH Infocast File Actual Delivery Time (MT)]]="","not delivered yet","Delivered"))</f>
        <v>not delivered yet</v>
      </c>
      <c r="O8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7" s="29" t="e">
        <f>ReloadStatusTable[[#This Row],[DWH Infocast File Actual Delivery Time (MT)]] + 1/24</f>
        <v>#VALUE!</v>
      </c>
      <c r="Q87" s="52"/>
    </row>
    <row r="88" spans="1:17" ht="26.25" customHeight="1" x14ac:dyDescent="0.3">
      <c r="A88" s="56" t="s">
        <v>8</v>
      </c>
      <c r="B88" s="6" t="s">
        <v>1137</v>
      </c>
      <c r="C88" s="6" t="s">
        <v>1161</v>
      </c>
      <c r="D88" s="57" t="str">
        <f>_xlfn.TEXTJOIN("",TRUE, "VIP",ReloadStatusTable[[#This Row],[Abbreviation]],"T")</f>
        <v>VIPITVT</v>
      </c>
      <c r="E88" s="6" t="s">
        <v>1162</v>
      </c>
      <c r="F88" s="7">
        <v>44238.979166666664</v>
      </c>
      <c r="G88" s="61">
        <f>ReloadStatusTable[[#This Row],[Forecasted Reload Completion Time (MT)]]+1/24</f>
        <v>44239.020833333328</v>
      </c>
      <c r="H88" s="35" t="str">
        <f>IF(ReloadStatusTable[[#This Row],[Actual Completion time (MT)]]="","not done yet","Complete")</f>
        <v>not done yet</v>
      </c>
      <c r="I88" s="7" t="str">
        <f>_xlfn.XLOOKUP(CONCATENATE(ReloadStatusTable[[#This Row],[Table]],TEXT(Process_Date,"yyyy-mm-dd")),'Daily_Completion Status'!F:F,'Daily_Completion Status'!H:H,"",0)</f>
        <v/>
      </c>
      <c r="J88" s="74" t="e">
        <f>ReloadStatusTable[[#This Row],[Actual Completion time (MT)]]+1/24</f>
        <v>#VALUE!</v>
      </c>
      <c r="K8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VAN-INFOCAST-NDW-DEN-ITV-DLY</v>
      </c>
      <c r="L88" s="28" t="s">
        <v>1085</v>
      </c>
      <c r="M88" s="27" t="s">
        <v>1085</v>
      </c>
      <c r="N88" s="36" t="str">
        <f>IF(ReloadStatusTable[[#This Row],[DWH Infocast Jobname]]="N/A","N/A",IF(ReloadStatusTable[[#This Row],[DWH Infocast File Actual Delivery Time (MT)]]="","not delivered yet","Delivered"))</f>
        <v>not delivered yet</v>
      </c>
      <c r="O8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8" s="29" t="e">
        <f>ReloadStatusTable[[#This Row],[DWH Infocast File Actual Delivery Time (MT)]] + 1/24</f>
        <v>#VALUE!</v>
      </c>
      <c r="Q88" s="52"/>
    </row>
    <row r="89" spans="1:17" ht="26.25" customHeight="1" x14ac:dyDescent="0.3">
      <c r="A89" s="49" t="s">
        <v>369</v>
      </c>
      <c r="B89" s="6" t="s">
        <v>1137</v>
      </c>
      <c r="C89" s="6" t="s">
        <v>1161</v>
      </c>
      <c r="D89" s="58" t="str">
        <f>_xlfn.TEXTJOIN("",TRUE, "VIP",ReloadStatusTable[[#This Row],[Abbreviation]],"T")</f>
        <v>VIPITVT</v>
      </c>
      <c r="E89" s="6" t="s">
        <v>1162</v>
      </c>
      <c r="F89" s="7">
        <v>44238.979166666664</v>
      </c>
      <c r="G89" s="61">
        <f>ReloadStatusTable[[#This Row],[Forecasted Reload Completion Time (MT)]]+1/24</f>
        <v>44239.020833333328</v>
      </c>
      <c r="H89" s="35" t="str">
        <f>IF(ReloadStatusTable[[#This Row],[Actual Completion time (MT)]]="","not done yet","Complete")</f>
        <v>not done yet</v>
      </c>
      <c r="I89" s="7" t="str">
        <f>_xlfn.XLOOKUP(CONCATENATE(ReloadStatusTable[[#This Row],[Table]],TEXT(Process_Date,"yyyy-mm-dd")),'Daily_Completion Status'!F:F,'Daily_Completion Status'!H:H,"",0)</f>
        <v/>
      </c>
      <c r="J89" s="74" t="e">
        <f>ReloadStatusTable[[#This Row],[Actual Completion time (MT)]]+1/24</f>
        <v>#VALUE!</v>
      </c>
      <c r="K8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VAN-INFOCAST-NDW-SLC-ITV-DLY</v>
      </c>
      <c r="L89" s="28" t="s">
        <v>1085</v>
      </c>
      <c r="M89" s="27" t="s">
        <v>1085</v>
      </c>
      <c r="N89" s="36" t="str">
        <f>IF(ReloadStatusTable[[#This Row],[DWH Infocast Jobname]]="N/A","N/A",IF(ReloadStatusTable[[#This Row],[DWH Infocast File Actual Delivery Time (MT)]]="","not delivered yet","Delivered"))</f>
        <v>not delivered yet</v>
      </c>
      <c r="O8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89" s="29" t="e">
        <f>ReloadStatusTable[[#This Row],[DWH Infocast File Actual Delivery Time (MT)]] + 1/24</f>
        <v>#VALUE!</v>
      </c>
      <c r="Q89" s="52"/>
    </row>
    <row r="90" spans="1:17" ht="26.25" customHeight="1" x14ac:dyDescent="0.3">
      <c r="A90" s="49" t="s">
        <v>489</v>
      </c>
      <c r="B90" s="6" t="s">
        <v>1137</v>
      </c>
      <c r="C90" s="6" t="s">
        <v>1161</v>
      </c>
      <c r="D90" s="58" t="str">
        <f>_xlfn.TEXTJOIN("",TRUE, "VIP",ReloadStatusTable[[#This Row],[Abbreviation]],"T")</f>
        <v>VIPITVT</v>
      </c>
      <c r="E90" s="6" t="s">
        <v>1162</v>
      </c>
      <c r="F90" s="7">
        <v>44238.979166666664</v>
      </c>
      <c r="G90" s="61">
        <f>ReloadStatusTable[[#This Row],[Forecasted Reload Completion Time (MT)]]+1/24</f>
        <v>44239.020833333328</v>
      </c>
      <c r="H90" s="35" t="str">
        <f>IF(ReloadStatusTable[[#This Row],[Actual Completion time (MT)]]="","not done yet","Complete")</f>
        <v>not done yet</v>
      </c>
      <c r="I90" s="7" t="str">
        <f>_xlfn.XLOOKUP(CONCATENATE(ReloadStatusTable[[#This Row],[Table]],TEXT(Process_Date,"yyyy-mm-dd")),'Daily_Completion Status'!F:F,'Daily_Completion Status'!H:H,"",0)</f>
        <v/>
      </c>
      <c r="J90" s="74" t="e">
        <f>ReloadStatusTable[[#This Row],[Actual Completion time (MT)]]+1/24</f>
        <v>#VALUE!</v>
      </c>
      <c r="K9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VAN-INFOCAST-NDW-WOM-ITV-DLY</v>
      </c>
      <c r="L90" s="28" t="s">
        <v>1085</v>
      </c>
      <c r="M90" s="27" t="s">
        <v>1085</v>
      </c>
      <c r="N90" s="36" t="str">
        <f>IF(ReloadStatusTable[[#This Row],[DWH Infocast Jobname]]="N/A","N/A",IF(ReloadStatusTable[[#This Row],[DWH Infocast File Actual Delivery Time (MT)]]="","not delivered yet","Delivered"))</f>
        <v>not delivered yet</v>
      </c>
      <c r="O9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0" s="29" t="e">
        <f>ReloadStatusTable[[#This Row],[DWH Infocast File Actual Delivery Time (MT)]] + 1/24</f>
        <v>#VALUE!</v>
      </c>
      <c r="Q90" s="52"/>
    </row>
    <row r="91" spans="1:17" ht="26.25" customHeight="1" x14ac:dyDescent="0.3">
      <c r="A91" s="56" t="s">
        <v>8</v>
      </c>
      <c r="B91" s="6" t="s">
        <v>1163</v>
      </c>
      <c r="C91" s="6" t="s">
        <v>1164</v>
      </c>
      <c r="D91" s="58" t="str">
        <f>_xlfn.TEXTJOIN("",TRUE, "VIP",ReloadStatusTable[[#This Row],[Abbreviation]],"T")</f>
        <v>VIPACBT</v>
      </c>
      <c r="E91" s="6" t="s">
        <v>1165</v>
      </c>
      <c r="F91" s="7">
        <v>44239</v>
      </c>
      <c r="G91" s="61">
        <f>ReloadStatusTable[[#This Row],[Forecasted Reload Completion Time (MT)]]+1/24</f>
        <v>44239.041666666664</v>
      </c>
      <c r="H91" s="35" t="str">
        <f>IF(ReloadStatusTable[[#This Row],[Actual Completion time (MT)]]="","not done yet","Complete")</f>
        <v>not done yet</v>
      </c>
      <c r="I91" s="7" t="str">
        <f>_xlfn.XLOOKUP(CONCATENATE(ReloadStatusTable[[#This Row],[Table]],TEXT(Process_Date,"yyyy-mm-dd")),'Daily_Completion Status'!F:F,'Daily_Completion Status'!H:H,"",0)</f>
        <v/>
      </c>
      <c r="J91" s="74" t="e">
        <f>ReloadStatusTable[[#This Row],[Actual Completion time (MT)]]+1/24</f>
        <v>#VALUE!</v>
      </c>
      <c r="K9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VAN-INFOCAST-NDW-DEN-ACB-DLY</v>
      </c>
      <c r="L91" s="28" t="s">
        <v>1085</v>
      </c>
      <c r="M91" s="27" t="s">
        <v>1085</v>
      </c>
      <c r="N91" s="36" t="str">
        <f>IF(ReloadStatusTable[[#This Row],[DWH Infocast Jobname]]="N/A","N/A",IF(ReloadStatusTable[[#This Row],[DWH Infocast File Actual Delivery Time (MT)]]="","not delivered yet","Delivered"))</f>
        <v>not delivered yet</v>
      </c>
      <c r="O9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1" s="29" t="e">
        <f>ReloadStatusTable[[#This Row],[DWH Infocast File Actual Delivery Time (MT)]] + 1/24</f>
        <v>#VALUE!</v>
      </c>
      <c r="Q91" s="52"/>
    </row>
    <row r="92" spans="1:17" ht="26.25" customHeight="1" x14ac:dyDescent="0.3">
      <c r="A92" s="49" t="s">
        <v>369</v>
      </c>
      <c r="B92" s="6" t="s">
        <v>1163</v>
      </c>
      <c r="C92" s="6" t="s">
        <v>1164</v>
      </c>
      <c r="D92" s="58" t="str">
        <f>_xlfn.TEXTJOIN("",TRUE, "VIP",ReloadStatusTable[[#This Row],[Abbreviation]],"T")</f>
        <v>VIPACBT</v>
      </c>
      <c r="E92" s="6" t="s">
        <v>1165</v>
      </c>
      <c r="F92" s="7">
        <v>44239</v>
      </c>
      <c r="G92" s="61">
        <f>ReloadStatusTable[[#This Row],[Forecasted Reload Completion Time (MT)]]+1/24</f>
        <v>44239.041666666664</v>
      </c>
      <c r="H92" s="35" t="str">
        <f>IF(ReloadStatusTable[[#This Row],[Actual Completion time (MT)]]="","not done yet","Complete")</f>
        <v>not done yet</v>
      </c>
      <c r="I92" s="7" t="str">
        <f>_xlfn.XLOOKUP(CONCATENATE(ReloadStatusTable[[#This Row],[Table]],TEXT(Process_Date,"yyyy-mm-dd")),'Daily_Completion Status'!F:F,'Daily_Completion Status'!H:H,"",0)</f>
        <v/>
      </c>
      <c r="J92" s="74" t="e">
        <f>ReloadStatusTable[[#This Row],[Actual Completion time (MT)]]+1/24</f>
        <v>#VALUE!</v>
      </c>
      <c r="K92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VAN-INFOCAST-NDW-SLC-ACB-DLY</v>
      </c>
      <c r="L92" s="28" t="s">
        <v>1085</v>
      </c>
      <c r="M92" s="27" t="s">
        <v>1085</v>
      </c>
      <c r="N92" s="36" t="str">
        <f>IF(ReloadStatusTable[[#This Row],[DWH Infocast Jobname]]="N/A","N/A",IF(ReloadStatusTable[[#This Row],[DWH Infocast File Actual Delivery Time (MT)]]="","not delivered yet","Delivered"))</f>
        <v>not delivered yet</v>
      </c>
      <c r="O92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2" s="29" t="e">
        <f>ReloadStatusTable[[#This Row],[DWH Infocast File Actual Delivery Time (MT)]] + 1/24</f>
        <v>#VALUE!</v>
      </c>
      <c r="Q92" s="52"/>
    </row>
    <row r="93" spans="1:17" ht="26.25" customHeight="1" x14ac:dyDescent="0.3">
      <c r="A93" s="49" t="s">
        <v>489</v>
      </c>
      <c r="B93" s="6" t="s">
        <v>1163</v>
      </c>
      <c r="C93" s="6" t="s">
        <v>1164</v>
      </c>
      <c r="D93" s="58" t="str">
        <f>_xlfn.TEXTJOIN("",TRUE, "VIP",ReloadStatusTable[[#This Row],[Abbreviation]],"T")</f>
        <v>VIPACBT</v>
      </c>
      <c r="E93" s="6" t="s">
        <v>1165</v>
      </c>
      <c r="F93" s="7">
        <v>44239</v>
      </c>
      <c r="G93" s="61">
        <f>ReloadStatusTable[[#This Row],[Forecasted Reload Completion Time (MT)]]+1/24</f>
        <v>44239.041666666664</v>
      </c>
      <c r="H93" s="35" t="str">
        <f>IF(ReloadStatusTable[[#This Row],[Actual Completion time (MT)]]="","not done yet","Complete")</f>
        <v>not done yet</v>
      </c>
      <c r="I93" s="7" t="str">
        <f>_xlfn.XLOOKUP(CONCATENATE(ReloadStatusTable[[#This Row],[Table]],TEXT(Process_Date,"yyyy-mm-dd")),'Daily_Completion Status'!F:F,'Daily_Completion Status'!H:H,"",0)</f>
        <v/>
      </c>
      <c r="J93" s="74" t="e">
        <f>ReloadStatusTable[[#This Row],[Actual Completion time (MT)]]+1/24</f>
        <v>#VALUE!</v>
      </c>
      <c r="K9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VAN-INFOCAST-NDW-WOM-ACB-DLY</v>
      </c>
      <c r="L93" s="28" t="s">
        <v>1085</v>
      </c>
      <c r="M93" s="27" t="s">
        <v>1085</v>
      </c>
      <c r="N93" s="36" t="str">
        <f>IF(ReloadStatusTable[[#This Row],[DWH Infocast Jobname]]="N/A","N/A",IF(ReloadStatusTable[[#This Row],[DWH Infocast File Actual Delivery Time (MT)]]="","not delivered yet","Delivered"))</f>
        <v>not delivered yet</v>
      </c>
      <c r="O9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3" s="29" t="e">
        <f>ReloadStatusTable[[#This Row],[DWH Infocast File Actual Delivery Time (MT)]] + 1/24</f>
        <v>#VALUE!</v>
      </c>
      <c r="Q93" s="52"/>
    </row>
    <row r="94" spans="1:17" ht="26.25" customHeight="1" x14ac:dyDescent="0.3">
      <c r="A94" s="56" t="s">
        <v>8</v>
      </c>
      <c r="B94" s="6" t="s">
        <v>1163</v>
      </c>
      <c r="C94" s="6" t="s">
        <v>1166</v>
      </c>
      <c r="D94" s="58" t="str">
        <f>_xlfn.TEXTJOIN("",TRUE, "VIP",ReloadStatusTable[[#This Row],[Abbreviation]],"T")</f>
        <v>VIPACRT</v>
      </c>
      <c r="E94" s="6" t="s">
        <v>1167</v>
      </c>
      <c r="F94" s="7">
        <v>44239</v>
      </c>
      <c r="G94" s="61">
        <f>ReloadStatusTable[[#This Row],[Forecasted Reload Completion Time (MT)]]+1/24</f>
        <v>44239.041666666664</v>
      </c>
      <c r="H94" s="35" t="str">
        <f>IF(ReloadStatusTable[[#This Row],[Actual Completion time (MT)]]="","not done yet","Complete")</f>
        <v>not done yet</v>
      </c>
      <c r="I94" s="7" t="str">
        <f>_xlfn.XLOOKUP(CONCATENATE(ReloadStatusTable[[#This Row],[Table]],TEXT(Process_Date,"yyyy-mm-dd")),'Daily_Completion Status'!F:F,'Daily_Completion Status'!H:H,"",0)</f>
        <v/>
      </c>
      <c r="J94" s="74" t="e">
        <f>ReloadStatusTable[[#This Row],[Actual Completion time (MT)]]+1/24</f>
        <v>#VALUE!</v>
      </c>
      <c r="K9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VAN-INFOCAST-NDW-DEN-ACR-DLY</v>
      </c>
      <c r="L94" s="28" t="s">
        <v>1085</v>
      </c>
      <c r="M94" s="27" t="s">
        <v>1085</v>
      </c>
      <c r="N94" s="36" t="str">
        <f>IF(ReloadStatusTable[[#This Row],[DWH Infocast Jobname]]="N/A","N/A",IF(ReloadStatusTable[[#This Row],[DWH Infocast File Actual Delivery Time (MT)]]="","not delivered yet","Delivered"))</f>
        <v>not delivered yet</v>
      </c>
      <c r="O9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4" s="29" t="e">
        <f>ReloadStatusTable[[#This Row],[DWH Infocast File Actual Delivery Time (MT)]] + 1/24</f>
        <v>#VALUE!</v>
      </c>
      <c r="Q94" s="52"/>
    </row>
    <row r="95" spans="1:17" ht="26.25" customHeight="1" x14ac:dyDescent="0.3">
      <c r="A95" s="49" t="s">
        <v>369</v>
      </c>
      <c r="B95" s="6" t="s">
        <v>1163</v>
      </c>
      <c r="C95" s="6" t="s">
        <v>1166</v>
      </c>
      <c r="D95" s="58" t="str">
        <f>_xlfn.TEXTJOIN("",TRUE, "VIP",ReloadStatusTable[[#This Row],[Abbreviation]],"T")</f>
        <v>VIPACRT</v>
      </c>
      <c r="E95" s="6" t="s">
        <v>1167</v>
      </c>
      <c r="F95" s="7">
        <v>44239</v>
      </c>
      <c r="G95" s="61">
        <f>ReloadStatusTable[[#This Row],[Forecasted Reload Completion Time (MT)]]+1/24</f>
        <v>44239.041666666664</v>
      </c>
      <c r="H95" s="35" t="str">
        <f>IF(ReloadStatusTable[[#This Row],[Actual Completion time (MT)]]="","not done yet","Complete")</f>
        <v>not done yet</v>
      </c>
      <c r="I95" s="7" t="str">
        <f>_xlfn.XLOOKUP(CONCATENATE(ReloadStatusTable[[#This Row],[Table]],TEXT(Process_Date,"yyyy-mm-dd")),'Daily_Completion Status'!F:F,'Daily_Completion Status'!H:H,"",0)</f>
        <v/>
      </c>
      <c r="J95" s="74" t="e">
        <f>ReloadStatusTable[[#This Row],[Actual Completion time (MT)]]+1/24</f>
        <v>#VALUE!</v>
      </c>
      <c r="K9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VAN-INFOCAST-NDW-SLC-ACR-DLY</v>
      </c>
      <c r="L95" s="28" t="s">
        <v>1085</v>
      </c>
      <c r="M95" s="27" t="s">
        <v>1085</v>
      </c>
      <c r="N95" s="36" t="str">
        <f>IF(ReloadStatusTable[[#This Row],[DWH Infocast Jobname]]="N/A","N/A",IF(ReloadStatusTable[[#This Row],[DWH Infocast File Actual Delivery Time (MT)]]="","not delivered yet","Delivered"))</f>
        <v>not delivered yet</v>
      </c>
      <c r="O9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5" s="29" t="e">
        <f>ReloadStatusTable[[#This Row],[DWH Infocast File Actual Delivery Time (MT)]] + 1/24</f>
        <v>#VALUE!</v>
      </c>
      <c r="Q95" s="52"/>
    </row>
    <row r="96" spans="1:17" ht="26.25" customHeight="1" x14ac:dyDescent="0.3">
      <c r="A96" s="49" t="s">
        <v>489</v>
      </c>
      <c r="B96" s="6" t="s">
        <v>1163</v>
      </c>
      <c r="C96" s="6" t="s">
        <v>1166</v>
      </c>
      <c r="D96" s="58" t="str">
        <f>_xlfn.TEXTJOIN("",TRUE, "VIP",ReloadStatusTable[[#This Row],[Abbreviation]],"T")</f>
        <v>VIPACRT</v>
      </c>
      <c r="E96" s="6" t="s">
        <v>1167</v>
      </c>
      <c r="F96" s="7">
        <v>44239</v>
      </c>
      <c r="G96" s="61">
        <f>ReloadStatusTable[[#This Row],[Forecasted Reload Completion Time (MT)]]+1/24</f>
        <v>44239.041666666664</v>
      </c>
      <c r="H96" s="35" t="str">
        <f>IF(ReloadStatusTable[[#This Row],[Actual Completion time (MT)]]="","not done yet","Complete")</f>
        <v>not done yet</v>
      </c>
      <c r="I96" s="7" t="str">
        <f>_xlfn.XLOOKUP(CONCATENATE(ReloadStatusTable[[#This Row],[Table]],TEXT(Process_Date,"yyyy-mm-dd")),'Daily_Completion Status'!F:F,'Daily_Completion Status'!H:H,"",0)</f>
        <v/>
      </c>
      <c r="J96" s="74" t="e">
        <f>ReloadStatusTable[[#This Row],[Actual Completion time (MT)]]+1/24</f>
        <v>#VALUE!</v>
      </c>
      <c r="K9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VAN-INFOCAST-NDW-WOM-ACR-DLY</v>
      </c>
      <c r="L96" s="28" t="s">
        <v>1085</v>
      </c>
      <c r="M96" s="27" t="s">
        <v>1085</v>
      </c>
      <c r="N96" s="36" t="str">
        <f>IF(ReloadStatusTable[[#This Row],[DWH Infocast Jobname]]="N/A","N/A",IF(ReloadStatusTable[[#This Row],[DWH Infocast File Actual Delivery Time (MT)]]="","not delivered yet","Delivered"))</f>
        <v>not delivered yet</v>
      </c>
      <c r="O9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6" s="29" t="e">
        <f>ReloadStatusTable[[#This Row],[DWH Infocast File Actual Delivery Time (MT)]] + 1/24</f>
        <v>#VALUE!</v>
      </c>
      <c r="Q96" s="52"/>
    </row>
    <row r="97" spans="1:20" ht="26.25" customHeight="1" x14ac:dyDescent="0.3">
      <c r="A97" s="56" t="s">
        <v>8</v>
      </c>
      <c r="B97" s="6" t="s">
        <v>1168</v>
      </c>
      <c r="C97" s="6" t="s">
        <v>1169</v>
      </c>
      <c r="D97" s="57" t="str">
        <f>_xlfn.TEXTJOIN("",TRUE, "VIP",ReloadStatusTable[[#This Row],[Abbreviation]],"T")</f>
        <v>VIPOHIT</v>
      </c>
      <c r="E97" s="6" t="s">
        <v>1170</v>
      </c>
      <c r="F97" s="95">
        <v>44239.145833333336</v>
      </c>
      <c r="G97" s="61">
        <f>ReloadStatusTable[[#This Row],[Forecasted Reload Completion Time (MT)]]+1/24</f>
        <v>44239.1875</v>
      </c>
      <c r="H97" s="35" t="str">
        <f>IF(ReloadStatusTable[[#This Row],[Actual Completion time (MT)]]="","not done yet","Complete")</f>
        <v>not done yet</v>
      </c>
      <c r="I97" s="7" t="str">
        <f>_xlfn.XLOOKUP(CONCATENATE(ReloadStatusTable[[#This Row],[Table]],TEXT(Process_Date,"yyyy-mm-dd")),'Daily_Completion Status'!F:F,'Daily_Completion Status'!H:H,"",0)</f>
        <v/>
      </c>
      <c r="J97" s="74" t="e">
        <f>ReloadStatusTable[[#This Row],[Actual Completion time (MT)]]+1/24</f>
        <v>#VALUE!</v>
      </c>
      <c r="K9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VAN-INFOCAST-NDW-DEN-OHI-DLY</v>
      </c>
      <c r="L97" s="17" t="s">
        <v>1171</v>
      </c>
      <c r="M97" s="95">
        <v>44239.270833333336</v>
      </c>
      <c r="N97" s="34" t="str">
        <f>IF(ReloadStatusTable[[#This Row],[DWH Infocast Jobname]]="N/A","N/A",IF(ReloadStatusTable[[#This Row],[DWH Infocast File Actual Delivery Time (MT)]]="","not delivered yet","Delivered"))</f>
        <v>not delivered yet</v>
      </c>
      <c r="O9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7" s="20" t="e">
        <f>ReloadStatusTable[[#This Row],[DWH Infocast File Actual Delivery Time (MT)]] + 1/24</f>
        <v>#VALUE!</v>
      </c>
      <c r="Q97" s="52"/>
      <c r="S97">
        <v>3179</v>
      </c>
      <c r="T97">
        <v>22600</v>
      </c>
    </row>
    <row r="98" spans="1:20" ht="26.25" customHeight="1" x14ac:dyDescent="0.3">
      <c r="A98" s="49" t="s">
        <v>369</v>
      </c>
      <c r="B98" s="6" t="s">
        <v>1168</v>
      </c>
      <c r="C98" s="6" t="s">
        <v>1169</v>
      </c>
      <c r="D98" s="58" t="str">
        <f>_xlfn.TEXTJOIN("",TRUE, "VIP",ReloadStatusTable[[#This Row],[Abbreviation]],"T")</f>
        <v>VIPOHIT</v>
      </c>
      <c r="E98" s="6" t="s">
        <v>1170</v>
      </c>
      <c r="F98" s="95">
        <v>44239.145833333336</v>
      </c>
      <c r="G98" s="61">
        <f>ReloadStatusTable[[#This Row],[Forecasted Reload Completion Time (MT)]]+1/24</f>
        <v>44239.1875</v>
      </c>
      <c r="H98" s="35" t="str">
        <f>IF(ReloadStatusTable[[#This Row],[Actual Completion time (MT)]]="","not done yet","Complete")</f>
        <v>not done yet</v>
      </c>
      <c r="I98" s="7" t="str">
        <f>_xlfn.XLOOKUP(CONCATENATE(ReloadStatusTable[[#This Row],[Table]],TEXT(Process_Date,"yyyy-mm-dd")),'Daily_Completion Status'!F:F,'Daily_Completion Status'!H:H,"",0)</f>
        <v/>
      </c>
      <c r="J98" s="74" t="e">
        <f>ReloadStatusTable[[#This Row],[Actual Completion time (MT)]]+1/24</f>
        <v>#VALUE!</v>
      </c>
      <c r="K9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VAN-INFOCAST-NDW-SLC-OHI-DLY</v>
      </c>
      <c r="L98" s="17" t="s">
        <v>1171</v>
      </c>
      <c r="M98" s="95">
        <v>44239.270833333336</v>
      </c>
      <c r="N98" s="35" t="str">
        <f>IF(ReloadStatusTable[[#This Row],[DWH Infocast Jobname]]="N/A","N/A",IF(ReloadStatusTable[[#This Row],[DWH Infocast File Actual Delivery Time (MT)]]="","not delivered yet","Delivered"))</f>
        <v>not delivered yet</v>
      </c>
      <c r="O9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8" s="20" t="e">
        <f>ReloadStatusTable[[#This Row],[DWH Infocast File Actual Delivery Time (MT)]] + 1/24</f>
        <v>#VALUE!</v>
      </c>
      <c r="Q98" s="52"/>
      <c r="S98">
        <v>3179</v>
      </c>
      <c r="T98">
        <v>22600</v>
      </c>
    </row>
    <row r="99" spans="1:20" ht="26.25" customHeight="1" x14ac:dyDescent="0.3">
      <c r="A99" s="49" t="s">
        <v>489</v>
      </c>
      <c r="B99" s="6" t="s">
        <v>1168</v>
      </c>
      <c r="C99" s="6" t="s">
        <v>1169</v>
      </c>
      <c r="D99" s="58" t="str">
        <f>_xlfn.TEXTJOIN("",TRUE, "VIP",ReloadStatusTable[[#This Row],[Abbreviation]],"T")</f>
        <v>VIPOHIT</v>
      </c>
      <c r="E99" s="6" t="s">
        <v>1170</v>
      </c>
      <c r="F99" s="95">
        <v>44239.145833333336</v>
      </c>
      <c r="G99" s="61">
        <f>ReloadStatusTable[[#This Row],[Forecasted Reload Completion Time (MT)]]+1/24</f>
        <v>44239.1875</v>
      </c>
      <c r="H99" s="35" t="str">
        <f>IF(ReloadStatusTable[[#This Row],[Actual Completion time (MT)]]="","not done yet","Complete")</f>
        <v>not done yet</v>
      </c>
      <c r="I99" s="7" t="str">
        <f>_xlfn.XLOOKUP(CONCATENATE(ReloadStatusTable[[#This Row],[Table]],TEXT(Process_Date,"yyyy-mm-dd")),'Daily_Completion Status'!F:F,'Daily_Completion Status'!H:H,"",0)</f>
        <v/>
      </c>
      <c r="J99" s="74" t="e">
        <f>ReloadStatusTable[[#This Row],[Actual Completion time (MT)]]+1/24</f>
        <v>#VALUE!</v>
      </c>
      <c r="K99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VAN-INFOCAST-NDW-WOM-OHI-DLY</v>
      </c>
      <c r="L99" s="17" t="s">
        <v>1171</v>
      </c>
      <c r="M99" s="95">
        <v>44239.270833333336</v>
      </c>
      <c r="N99" s="35" t="str">
        <f>IF(ReloadStatusTable[[#This Row],[DWH Infocast Jobname]]="N/A","N/A",IF(ReloadStatusTable[[#This Row],[DWH Infocast File Actual Delivery Time (MT)]]="","not delivered yet","Delivered"))</f>
        <v>not delivered yet</v>
      </c>
      <c r="O99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99" s="20" t="e">
        <f>ReloadStatusTable[[#This Row],[DWH Infocast File Actual Delivery Time (MT)]] + 1/24</f>
        <v>#VALUE!</v>
      </c>
      <c r="Q99" s="52"/>
      <c r="S99">
        <v>3179</v>
      </c>
      <c r="T99">
        <v>22600</v>
      </c>
    </row>
    <row r="100" spans="1:20" ht="26.25" customHeight="1" x14ac:dyDescent="0.3">
      <c r="A100" s="56" t="s">
        <v>8</v>
      </c>
      <c r="B100" s="6" t="s">
        <v>1172</v>
      </c>
      <c r="C100" s="6" t="s">
        <v>1173</v>
      </c>
      <c r="D100" s="57" t="str">
        <f>_xlfn.TEXTJOIN("",TRUE, "VIP",ReloadStatusTable[[#This Row],[Abbreviation]],"T")</f>
        <v>VIPOCIT</v>
      </c>
      <c r="E100" s="6" t="s">
        <v>1174</v>
      </c>
      <c r="F100" s="7">
        <v>44238.979166666664</v>
      </c>
      <c r="G100" s="61">
        <f>ReloadStatusTable[[#This Row],[Forecasted Reload Completion Time (MT)]]+1/24</f>
        <v>44239.020833333328</v>
      </c>
      <c r="H100" s="35" t="str">
        <f>IF(ReloadStatusTable[[#This Row],[Actual Completion time (MT)]]="","not done yet","Complete")</f>
        <v>not done yet</v>
      </c>
      <c r="I100" s="7" t="str">
        <f>_xlfn.XLOOKUP(CONCATENATE(ReloadStatusTable[[#This Row],[Table]],TEXT(Process_Date,"yyyy-mm-dd")),'Daily_Completion Status'!F:F,'Daily_Completion Status'!H:H,"",0)</f>
        <v/>
      </c>
      <c r="J100" s="74" t="e">
        <f>ReloadStatusTable[[#This Row],[Actual Completion time (MT)]]+1/24</f>
        <v>#VALUE!</v>
      </c>
      <c r="K10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VAN-INFOCAST-NDW-DEN-OCI-DLY</v>
      </c>
      <c r="L100" s="17" t="s">
        <v>1175</v>
      </c>
      <c r="M100" s="95">
        <v>44239.270833333336</v>
      </c>
      <c r="N100" s="34" t="str">
        <f>IF(ReloadStatusTable[[#This Row],[DWH Infocast Jobname]]="N/A","N/A",IF(ReloadStatusTable[[#This Row],[DWH Infocast File Actual Delivery Time (MT)]]="","not delivered yet","Delivered"))</f>
        <v>not delivered yet</v>
      </c>
      <c r="O10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0" s="20" t="e">
        <f>ReloadStatusTable[[#This Row],[DWH Infocast File Actual Delivery Time (MT)]] + 1/24</f>
        <v>#VALUE!</v>
      </c>
      <c r="Q100" s="52"/>
      <c r="S100">
        <v>2100</v>
      </c>
      <c r="T100">
        <v>25600</v>
      </c>
    </row>
    <row r="101" spans="1:20" ht="26.25" customHeight="1" x14ac:dyDescent="0.3">
      <c r="A101" s="49" t="s">
        <v>369</v>
      </c>
      <c r="B101" s="6" t="s">
        <v>1172</v>
      </c>
      <c r="C101" s="6" t="s">
        <v>1173</v>
      </c>
      <c r="D101" s="58" t="str">
        <f>_xlfn.TEXTJOIN("",TRUE, "VIP",ReloadStatusTable[[#This Row],[Abbreviation]],"T")</f>
        <v>VIPOCIT</v>
      </c>
      <c r="E101" s="6" t="s">
        <v>1174</v>
      </c>
      <c r="F101" s="7">
        <v>44238.979166666664</v>
      </c>
      <c r="G101" s="61">
        <f>ReloadStatusTable[[#This Row],[Forecasted Reload Completion Time (MT)]]+1/24</f>
        <v>44239.020833333328</v>
      </c>
      <c r="H101" s="35" t="str">
        <f>IF(ReloadStatusTable[[#This Row],[Actual Completion time (MT)]]="","not done yet","Complete")</f>
        <v>not done yet</v>
      </c>
      <c r="I101" s="7" t="str">
        <f>_xlfn.XLOOKUP(CONCATENATE(ReloadStatusTable[[#This Row],[Table]],TEXT(Process_Date,"yyyy-mm-dd")),'Daily_Completion Status'!F:F,'Daily_Completion Status'!H:H,"",0)</f>
        <v/>
      </c>
      <c r="J101" s="74" t="e">
        <f>ReloadStatusTable[[#This Row],[Actual Completion time (MT)]]+1/24</f>
        <v>#VALUE!</v>
      </c>
      <c r="K10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VAN-INFOCAST-NDW-SLC-OCI-DLY</v>
      </c>
      <c r="L101" s="17" t="s">
        <v>1175</v>
      </c>
      <c r="M101" s="95">
        <v>44239.270833333336</v>
      </c>
      <c r="N101" s="35" t="str">
        <f>IF(ReloadStatusTable[[#This Row],[DWH Infocast Jobname]]="N/A","N/A",IF(ReloadStatusTable[[#This Row],[DWH Infocast File Actual Delivery Time (MT)]]="","not delivered yet","Delivered"))</f>
        <v>not delivered yet</v>
      </c>
      <c r="O10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1" s="20" t="e">
        <f>ReloadStatusTable[[#This Row],[DWH Infocast File Actual Delivery Time (MT)]] + 1/24</f>
        <v>#VALUE!</v>
      </c>
      <c r="Q101" s="52"/>
      <c r="S101">
        <v>2100</v>
      </c>
      <c r="T101">
        <v>25600</v>
      </c>
    </row>
    <row r="102" spans="1:20" ht="26.25" customHeight="1" x14ac:dyDescent="0.3">
      <c r="A102" s="49" t="s">
        <v>489</v>
      </c>
      <c r="B102" s="6" t="s">
        <v>1172</v>
      </c>
      <c r="C102" s="6" t="s">
        <v>1173</v>
      </c>
      <c r="D102" s="58" t="str">
        <f>_xlfn.TEXTJOIN("",TRUE, "VIP",ReloadStatusTable[[#This Row],[Abbreviation]],"T")</f>
        <v>VIPOCIT</v>
      </c>
      <c r="E102" s="6" t="s">
        <v>1174</v>
      </c>
      <c r="F102" s="7">
        <v>44238.979166666664</v>
      </c>
      <c r="G102" s="61">
        <f>ReloadStatusTable[[#This Row],[Forecasted Reload Completion Time (MT)]]+1/24</f>
        <v>44239.020833333328</v>
      </c>
      <c r="H102" s="35" t="str">
        <f>IF(ReloadStatusTable[[#This Row],[Actual Completion time (MT)]]="","not done yet","Complete")</f>
        <v>not done yet</v>
      </c>
      <c r="I102" s="7" t="str">
        <f>_xlfn.XLOOKUP(CONCATENATE(ReloadStatusTable[[#This Row],[Table]],TEXT(Process_Date,"yyyy-mm-dd")),'Daily_Completion Status'!F:F,'Daily_Completion Status'!H:H,"",0)</f>
        <v/>
      </c>
      <c r="J102" s="74" t="e">
        <f>ReloadStatusTable[[#This Row],[Actual Completion time (MT)]]+1/24</f>
        <v>#VALUE!</v>
      </c>
      <c r="K10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VAN-INFOCAST-NDW-WOM-OCI-DLY</v>
      </c>
      <c r="L102" s="17" t="s">
        <v>1175</v>
      </c>
      <c r="M102" s="95">
        <v>44239.270833333336</v>
      </c>
      <c r="N102" s="35" t="str">
        <f>IF(ReloadStatusTable[[#This Row],[DWH Infocast Jobname]]="N/A","N/A",IF(ReloadStatusTable[[#This Row],[DWH Infocast File Actual Delivery Time (MT)]]="","not delivered yet","Delivered"))</f>
        <v>not delivered yet</v>
      </c>
      <c r="O10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2" s="20" t="e">
        <f>ReloadStatusTable[[#This Row],[DWH Infocast File Actual Delivery Time (MT)]] + 1/24</f>
        <v>#VALUE!</v>
      </c>
      <c r="Q102" s="52"/>
      <c r="S102">
        <v>2100</v>
      </c>
      <c r="T102">
        <v>25600</v>
      </c>
    </row>
    <row r="103" spans="1:20" ht="26.25" customHeight="1" x14ac:dyDescent="0.3">
      <c r="A103" s="56" t="s">
        <v>8</v>
      </c>
      <c r="B103" s="6" t="s">
        <v>1163</v>
      </c>
      <c r="C103" s="6" t="s">
        <v>1176</v>
      </c>
      <c r="D103" s="58" t="str">
        <f>_xlfn.TEXTJOIN("",TRUE, "VIP",ReloadStatusTable[[#This Row],[Abbreviation]],"T")</f>
        <v>VIPACDT</v>
      </c>
      <c r="E103" s="6" t="s">
        <v>1177</v>
      </c>
      <c r="F103" s="7">
        <v>44239</v>
      </c>
      <c r="G103" s="61">
        <f>ReloadStatusTable[[#This Row],[Forecasted Reload Completion Time (MT)]]+1/24</f>
        <v>44239.041666666664</v>
      </c>
      <c r="H103" s="35" t="str">
        <f>IF(ReloadStatusTable[[#This Row],[Actual Completion time (MT)]]="","not done yet","Complete")</f>
        <v>not done yet</v>
      </c>
      <c r="I103" s="7" t="str">
        <f>_xlfn.XLOOKUP(CONCATENATE(ReloadStatusTable[[#This Row],[Table]],TEXT(Process_Date,"yyyy-mm-dd")),'Daily_Completion Status'!F:F,'Daily_Completion Status'!H:H,"",0)</f>
        <v/>
      </c>
      <c r="J103" s="74" t="e">
        <f>ReloadStatusTable[[#This Row],[Actual Completion time (MT)]]+1/24</f>
        <v>#VALUE!</v>
      </c>
      <c r="K103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VAN-INFOCAST-NDW-DEN-ACD-DLY</v>
      </c>
      <c r="L103" s="28" t="s">
        <v>1085</v>
      </c>
      <c r="M103" s="27" t="s">
        <v>1085</v>
      </c>
      <c r="N103" s="36" t="str">
        <f>IF(ReloadStatusTable[[#This Row],[DWH Infocast Jobname]]="N/A","N/A",IF(ReloadStatusTable[[#This Row],[DWH Infocast File Actual Delivery Time (MT)]]="","not delivered yet","Delivered"))</f>
        <v>not delivered yet</v>
      </c>
      <c r="O103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3" s="29" t="e">
        <f>ReloadStatusTable[[#This Row],[DWH Infocast File Actual Delivery Time (MT)]] + 1/24</f>
        <v>#VALUE!</v>
      </c>
      <c r="Q103" s="52"/>
    </row>
    <row r="104" spans="1:20" ht="26.25" customHeight="1" x14ac:dyDescent="0.3">
      <c r="A104" s="49" t="s">
        <v>369</v>
      </c>
      <c r="B104" s="6" t="s">
        <v>1163</v>
      </c>
      <c r="C104" s="6" t="s">
        <v>1176</v>
      </c>
      <c r="D104" s="58" t="str">
        <f>_xlfn.TEXTJOIN("",TRUE, "VIP",ReloadStatusTable[[#This Row],[Abbreviation]],"T")</f>
        <v>VIPACDT</v>
      </c>
      <c r="E104" s="6" t="s">
        <v>1177</v>
      </c>
      <c r="F104" s="7">
        <v>44239</v>
      </c>
      <c r="G104" s="61">
        <f>ReloadStatusTable[[#This Row],[Forecasted Reload Completion Time (MT)]]+1/24</f>
        <v>44239.041666666664</v>
      </c>
      <c r="H104" s="35" t="str">
        <f>IF(ReloadStatusTable[[#This Row],[Actual Completion time (MT)]]="","not done yet","Complete")</f>
        <v>not done yet</v>
      </c>
      <c r="I104" s="7" t="str">
        <f>_xlfn.XLOOKUP(CONCATENATE(ReloadStatusTable[[#This Row],[Table]],TEXT(Process_Date,"yyyy-mm-dd")),'Daily_Completion Status'!F:F,'Daily_Completion Status'!H:H,"",0)</f>
        <v/>
      </c>
      <c r="J104" s="74" t="e">
        <f>ReloadStatusTable[[#This Row],[Actual Completion time (MT)]]+1/24</f>
        <v>#VALUE!</v>
      </c>
      <c r="K104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VAN-INFOCAST-NDW-SLC-ACD-DLY</v>
      </c>
      <c r="L104" s="28" t="s">
        <v>1085</v>
      </c>
      <c r="M104" s="27" t="s">
        <v>1085</v>
      </c>
      <c r="N104" s="36" t="str">
        <f>IF(ReloadStatusTable[[#This Row],[DWH Infocast Jobname]]="N/A","N/A",IF(ReloadStatusTable[[#This Row],[DWH Infocast File Actual Delivery Time (MT)]]="","not delivered yet","Delivered"))</f>
        <v>not delivered yet</v>
      </c>
      <c r="O104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4" s="29" t="e">
        <f>ReloadStatusTable[[#This Row],[DWH Infocast File Actual Delivery Time (MT)]] + 1/24</f>
        <v>#VALUE!</v>
      </c>
      <c r="Q104" s="52"/>
    </row>
    <row r="105" spans="1:20" ht="26.25" customHeight="1" x14ac:dyDescent="0.3">
      <c r="A105" s="49" t="s">
        <v>489</v>
      </c>
      <c r="B105" s="6" t="s">
        <v>1163</v>
      </c>
      <c r="C105" s="6" t="s">
        <v>1176</v>
      </c>
      <c r="D105" s="58" t="str">
        <f>_xlfn.TEXTJOIN("",TRUE, "VIP",ReloadStatusTable[[#This Row],[Abbreviation]],"T")</f>
        <v>VIPACDT</v>
      </c>
      <c r="E105" s="6" t="s">
        <v>1177</v>
      </c>
      <c r="F105" s="7">
        <v>44239</v>
      </c>
      <c r="G105" s="61">
        <f>ReloadStatusTable[[#This Row],[Forecasted Reload Completion Time (MT)]]+1/24</f>
        <v>44239.041666666664</v>
      </c>
      <c r="H105" s="35" t="str">
        <f>IF(ReloadStatusTable[[#This Row],[Actual Completion time (MT)]]="","not done yet","Complete")</f>
        <v>not done yet</v>
      </c>
      <c r="I105" s="7" t="str">
        <f>_xlfn.XLOOKUP(CONCATENATE(ReloadStatusTable[[#This Row],[Table]],TEXT(Process_Date,"yyyy-mm-dd")),'Daily_Completion Status'!F:F,'Daily_Completion Status'!H:H,"",0)</f>
        <v/>
      </c>
      <c r="J105" s="74" t="e">
        <f>ReloadStatusTable[[#This Row],[Actual Completion time (MT)]]+1/24</f>
        <v>#VALUE!</v>
      </c>
      <c r="K105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VAN-INFOCAST-NDW-WOM-ACD-DLY</v>
      </c>
      <c r="L105" s="28" t="s">
        <v>1085</v>
      </c>
      <c r="M105" s="27" t="s">
        <v>1085</v>
      </c>
      <c r="N105" s="36" t="str">
        <f>IF(ReloadStatusTable[[#This Row],[DWH Infocast Jobname]]="N/A","N/A",IF(ReloadStatusTable[[#This Row],[DWH Infocast File Actual Delivery Time (MT)]]="","not delivered yet","Delivered"))</f>
        <v>not delivered yet</v>
      </c>
      <c r="O105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5" s="29" t="e">
        <f>ReloadStatusTable[[#This Row],[DWH Infocast File Actual Delivery Time (MT)]] + 1/24</f>
        <v>#VALUE!</v>
      </c>
      <c r="Q105" s="52"/>
    </row>
    <row r="106" spans="1:20" ht="26.25" customHeight="1" x14ac:dyDescent="0.3">
      <c r="A106" s="56" t="s">
        <v>8</v>
      </c>
      <c r="B106" s="6" t="s">
        <v>1178</v>
      </c>
      <c r="C106" s="6" t="s">
        <v>1179</v>
      </c>
      <c r="D106" s="57" t="str">
        <f>_xlfn.TEXTJOIN("",TRUE, "VIP",ReloadStatusTable[[#This Row],[Abbreviation]],"T")</f>
        <v>VIPCHXT</v>
      </c>
      <c r="E106" s="6" t="s">
        <v>1180</v>
      </c>
      <c r="F106" s="7">
        <v>44239.145833333336</v>
      </c>
      <c r="G106" s="61">
        <f>ReloadStatusTable[[#This Row],[Forecasted Reload Completion Time (MT)]]+1/24</f>
        <v>44239.1875</v>
      </c>
      <c r="H106" s="35" t="str">
        <f>IF(ReloadStatusTable[[#This Row],[Actual Completion time (MT)]]="","not done yet","Complete")</f>
        <v>not done yet</v>
      </c>
      <c r="I106" s="7" t="str">
        <f>_xlfn.XLOOKUP(CONCATENATE(ReloadStatusTable[[#This Row],[Table]],TEXT(Process_Date,"yyyy-mm-dd")),'Daily_Completion Status'!F:F,'Daily_Completion Status'!H:H,"",0)</f>
        <v/>
      </c>
      <c r="J106" s="74" t="e">
        <f>ReloadStatusTable[[#This Row],[Actual Completion time (MT)]]+1/24</f>
        <v>#VALUE!</v>
      </c>
      <c r="K106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VAN-INFOCAST-NDW-DEN-CHX-DLY</v>
      </c>
      <c r="L106" s="28" t="s">
        <v>1085</v>
      </c>
      <c r="M106" s="27" t="s">
        <v>1085</v>
      </c>
      <c r="N106" s="36" t="str">
        <f>IF(ReloadStatusTable[[#This Row],[DWH Infocast Jobname]]="N/A","N/A",IF(ReloadStatusTable[[#This Row],[DWH Infocast File Actual Delivery Time (MT)]]="","not delivered yet","Delivered"))</f>
        <v>not delivered yet</v>
      </c>
      <c r="O106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6" s="29" t="e">
        <f>ReloadStatusTable[[#This Row],[DWH Infocast File Actual Delivery Time (MT)]] + 1/24</f>
        <v>#VALUE!</v>
      </c>
      <c r="Q106" s="52"/>
    </row>
    <row r="107" spans="1:20" ht="26.25" customHeight="1" x14ac:dyDescent="0.3">
      <c r="A107" s="49" t="s">
        <v>369</v>
      </c>
      <c r="B107" s="6" t="s">
        <v>1178</v>
      </c>
      <c r="C107" s="6" t="s">
        <v>1179</v>
      </c>
      <c r="D107" s="58" t="str">
        <f>_xlfn.TEXTJOIN("",TRUE, "VIP",ReloadStatusTable[[#This Row],[Abbreviation]],"T")</f>
        <v>VIPCHXT</v>
      </c>
      <c r="E107" s="6" t="s">
        <v>1180</v>
      </c>
      <c r="F107" s="7">
        <v>44239.145833333336</v>
      </c>
      <c r="G107" s="61">
        <f>ReloadStatusTable[[#This Row],[Forecasted Reload Completion Time (MT)]]+1/24</f>
        <v>44239.1875</v>
      </c>
      <c r="H107" s="35" t="str">
        <f>IF(ReloadStatusTable[[#This Row],[Actual Completion time (MT)]]="","not done yet","Complete")</f>
        <v>not done yet</v>
      </c>
      <c r="I107" s="7" t="str">
        <f>_xlfn.XLOOKUP(CONCATENATE(ReloadStatusTable[[#This Row],[Table]],TEXT(Process_Date,"yyyy-mm-dd")),'Daily_Completion Status'!F:F,'Daily_Completion Status'!H:H,"",0)</f>
        <v/>
      </c>
      <c r="J107" s="74" t="e">
        <f>ReloadStatusTable[[#This Row],[Actual Completion time (MT)]]+1/24</f>
        <v>#VALUE!</v>
      </c>
      <c r="K107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VAN-INFOCAST-NDW-SLC-CHX-DLY</v>
      </c>
      <c r="L107" s="28" t="s">
        <v>1085</v>
      </c>
      <c r="M107" s="27" t="s">
        <v>1085</v>
      </c>
      <c r="N107" s="36" t="str">
        <f>IF(ReloadStatusTable[[#This Row],[DWH Infocast Jobname]]="N/A","N/A",IF(ReloadStatusTable[[#This Row],[DWH Infocast File Actual Delivery Time (MT)]]="","not delivered yet","Delivered"))</f>
        <v>not delivered yet</v>
      </c>
      <c r="O107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7" s="29" t="e">
        <f>ReloadStatusTable[[#This Row],[DWH Infocast File Actual Delivery Time (MT)]] + 1/24</f>
        <v>#VALUE!</v>
      </c>
      <c r="Q107" s="52"/>
    </row>
    <row r="108" spans="1:20" ht="26.25" customHeight="1" x14ac:dyDescent="0.3">
      <c r="A108" s="49" t="s">
        <v>489</v>
      </c>
      <c r="B108" s="6" t="s">
        <v>1178</v>
      </c>
      <c r="C108" s="6" t="s">
        <v>1179</v>
      </c>
      <c r="D108" s="58" t="str">
        <f>_xlfn.TEXTJOIN("",TRUE, "VIP",ReloadStatusTable[[#This Row],[Abbreviation]],"T")</f>
        <v>VIPCHXT</v>
      </c>
      <c r="E108" s="6" t="s">
        <v>1180</v>
      </c>
      <c r="F108" s="7">
        <v>44239.145833333336</v>
      </c>
      <c r="G108" s="61">
        <f>ReloadStatusTable[[#This Row],[Forecasted Reload Completion Time (MT)]]+1/24</f>
        <v>44239.1875</v>
      </c>
      <c r="H108" s="35" t="str">
        <f>IF(ReloadStatusTable[[#This Row],[Actual Completion time (MT)]]="","not done yet","Complete")</f>
        <v>not done yet</v>
      </c>
      <c r="I108" s="7" t="str">
        <f>_xlfn.XLOOKUP(CONCATENATE(ReloadStatusTable[[#This Row],[Table]],TEXT(Process_Date,"yyyy-mm-dd")),'Daily_Completion Status'!F:F,'Daily_Completion Status'!H:H,"",0)</f>
        <v/>
      </c>
      <c r="J108" s="74" t="e">
        <f>ReloadStatusTable[[#This Row],[Actual Completion time (MT)]]+1/24</f>
        <v>#VALUE!</v>
      </c>
      <c r="K108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VAN-INFOCAST-NDW-WOM-CHX-DLY</v>
      </c>
      <c r="L108" s="28" t="s">
        <v>1085</v>
      </c>
      <c r="M108" s="27" t="s">
        <v>1085</v>
      </c>
      <c r="N108" s="36" t="str">
        <f>IF(ReloadStatusTable[[#This Row],[DWH Infocast Jobname]]="N/A","N/A",IF(ReloadStatusTable[[#This Row],[DWH Infocast File Actual Delivery Time (MT)]]="","not delivered yet","Delivered"))</f>
        <v>not delivered yet</v>
      </c>
      <c r="O108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8" s="29" t="e">
        <f>ReloadStatusTable[[#This Row],[DWH Infocast File Actual Delivery Time (MT)]] + 1/24</f>
        <v>#VALUE!</v>
      </c>
      <c r="Q108" s="52"/>
    </row>
    <row r="109" spans="1:20" ht="26.25" customHeight="1" x14ac:dyDescent="0.3">
      <c r="A109" s="56" t="s">
        <v>8</v>
      </c>
      <c r="B109" s="6" t="s">
        <v>1137</v>
      </c>
      <c r="C109" s="6" t="s">
        <v>1181</v>
      </c>
      <c r="D109" s="57" t="str">
        <f>_xlfn.TEXTJOIN("",TRUE, "VIP",ReloadStatusTable[[#This Row],[Abbreviation]],"T")</f>
        <v>VIPOOIT</v>
      </c>
      <c r="E109" s="6" t="s">
        <v>1182</v>
      </c>
      <c r="F109" s="7">
        <v>44239.166666666664</v>
      </c>
      <c r="G109" s="61">
        <f>ReloadStatusTable[[#This Row],[Forecasted Reload Completion Time (MT)]]+1/24</f>
        <v>44239.208333333328</v>
      </c>
      <c r="H109" s="35" t="str">
        <f>IF(ReloadStatusTable[[#This Row],[Actual Completion time (MT)]]="","not done yet","Complete")</f>
        <v>not done yet</v>
      </c>
      <c r="I109" s="7" t="str">
        <f>_xlfn.XLOOKUP(CONCATENATE(ReloadStatusTable[[#This Row],[Table]],TEXT(Process_Date,"yyyy-mm-dd")),'Daily_Completion Status'!F:F,'Daily_Completion Status'!H:H,"",0)</f>
        <v/>
      </c>
      <c r="J109" s="74" t="e">
        <f>ReloadStatusTable[[#This Row],[Actual Completion time (MT)]]+1/24</f>
        <v>#VALUE!</v>
      </c>
      <c r="K109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VAN-INFOCAST-NDW-DEN-OOI-DLY</v>
      </c>
      <c r="L109" s="28" t="s">
        <v>1085</v>
      </c>
      <c r="M109" s="27" t="s">
        <v>1085</v>
      </c>
      <c r="N109" s="36" t="str">
        <f>IF(ReloadStatusTable[[#This Row],[DWH Infocast Jobname]]="N/A","N/A",IF(ReloadStatusTable[[#This Row],[DWH Infocast File Actual Delivery Time (MT)]]="","not delivered yet","Delivered"))</f>
        <v>not delivered yet</v>
      </c>
      <c r="O109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09" s="29" t="e">
        <f>ReloadStatusTable[[#This Row],[DWH Infocast File Actual Delivery Time (MT)]] + 1/24</f>
        <v>#VALUE!</v>
      </c>
      <c r="Q109" s="52"/>
    </row>
    <row r="110" spans="1:20" ht="26.25" customHeight="1" x14ac:dyDescent="0.3">
      <c r="A110" s="49" t="s">
        <v>369</v>
      </c>
      <c r="B110" s="6" t="s">
        <v>1137</v>
      </c>
      <c r="C110" s="6" t="s">
        <v>1181</v>
      </c>
      <c r="D110" s="58" t="str">
        <f>_xlfn.TEXTJOIN("",TRUE, "VIP",ReloadStatusTable[[#This Row],[Abbreviation]],"T")</f>
        <v>VIPOOIT</v>
      </c>
      <c r="E110" s="6" t="s">
        <v>1182</v>
      </c>
      <c r="F110" s="7">
        <v>44239.166666666664</v>
      </c>
      <c r="G110" s="61">
        <f>ReloadStatusTable[[#This Row],[Forecasted Reload Completion Time (MT)]]+1/24</f>
        <v>44239.208333333328</v>
      </c>
      <c r="H110" s="35" t="str">
        <f>IF(ReloadStatusTable[[#This Row],[Actual Completion time (MT)]]="","not done yet","Complete")</f>
        <v>not done yet</v>
      </c>
      <c r="I110" s="7" t="str">
        <f>_xlfn.XLOOKUP(CONCATENATE(ReloadStatusTable[[#This Row],[Table]],TEXT(Process_Date,"yyyy-mm-dd")),'Daily_Completion Status'!F:F,'Daily_Completion Status'!H:H,"",0)</f>
        <v/>
      </c>
      <c r="J110" s="74" t="e">
        <f>ReloadStatusTable[[#This Row],[Actual Completion time (MT)]]+1/24</f>
        <v>#VALUE!</v>
      </c>
      <c r="K110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VAN-INFOCAST-NDW-SLC-OOI-DLY</v>
      </c>
      <c r="L110" s="28" t="s">
        <v>1085</v>
      </c>
      <c r="M110" s="27" t="s">
        <v>1085</v>
      </c>
      <c r="N110" s="36" t="str">
        <f>IF(ReloadStatusTable[[#This Row],[DWH Infocast Jobname]]="N/A","N/A",IF(ReloadStatusTable[[#This Row],[DWH Infocast File Actual Delivery Time (MT)]]="","not delivered yet","Delivered"))</f>
        <v>not delivered yet</v>
      </c>
      <c r="O110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0" s="29" t="e">
        <f>ReloadStatusTable[[#This Row],[DWH Infocast File Actual Delivery Time (MT)]] + 1/24</f>
        <v>#VALUE!</v>
      </c>
      <c r="Q110" s="52"/>
    </row>
    <row r="111" spans="1:20" ht="26.25" customHeight="1" x14ac:dyDescent="0.3">
      <c r="A111" s="49" t="s">
        <v>489</v>
      </c>
      <c r="B111" s="6" t="s">
        <v>1137</v>
      </c>
      <c r="C111" s="6" t="s">
        <v>1181</v>
      </c>
      <c r="D111" s="58" t="str">
        <f>_xlfn.TEXTJOIN("",TRUE, "VIP",ReloadStatusTable[[#This Row],[Abbreviation]],"T")</f>
        <v>VIPOOIT</v>
      </c>
      <c r="E111" s="6" t="s">
        <v>1182</v>
      </c>
      <c r="F111" s="7">
        <v>44239.166666666664</v>
      </c>
      <c r="G111" s="61">
        <f>ReloadStatusTable[[#This Row],[Forecasted Reload Completion Time (MT)]]+1/24</f>
        <v>44239.208333333328</v>
      </c>
      <c r="H111" s="35" t="str">
        <f>IF(ReloadStatusTable[[#This Row],[Actual Completion time (MT)]]="","not done yet","Complete")</f>
        <v>not done yet</v>
      </c>
      <c r="I111" s="7" t="str">
        <f>_xlfn.XLOOKUP(CONCATENATE(ReloadStatusTable[[#This Row],[Table]],TEXT(Process_Date,"yyyy-mm-dd")),'Daily_Completion Status'!F:F,'Daily_Completion Status'!H:H,"",0)</f>
        <v/>
      </c>
      <c r="J111" s="74" t="e">
        <f>ReloadStatusTable[[#This Row],[Actual Completion time (MT)]]+1/24</f>
        <v>#VALUE!</v>
      </c>
      <c r="K111" s="81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VAN-INFOCAST-NDW-WOM-OOI-DLY</v>
      </c>
      <c r="L111" s="28" t="s">
        <v>1085</v>
      </c>
      <c r="M111" s="27" t="s">
        <v>1085</v>
      </c>
      <c r="N111" s="36" t="str">
        <f>IF(ReloadStatusTable[[#This Row],[DWH Infocast Jobname]]="N/A","N/A",IF(ReloadStatusTable[[#This Row],[DWH Infocast File Actual Delivery Time (MT)]]="","not delivered yet","Delivered"))</f>
        <v>not delivered yet</v>
      </c>
      <c r="O111" s="29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1" s="29" t="e">
        <f>ReloadStatusTable[[#This Row],[DWH Infocast File Actual Delivery Time (MT)]] + 1/24</f>
        <v>#VALUE!</v>
      </c>
      <c r="Q111" s="52"/>
    </row>
    <row r="112" spans="1:20" ht="26.25" customHeight="1" x14ac:dyDescent="0.3">
      <c r="A112" s="56" t="s">
        <v>8</v>
      </c>
      <c r="B112" s="6" t="s">
        <v>1183</v>
      </c>
      <c r="C112" s="6" t="s">
        <v>1184</v>
      </c>
      <c r="D112" s="57" t="str">
        <f>_xlfn.TEXTJOIN("",TRUE, "VIP",ReloadStatusTable[[#This Row],[Abbreviation]],"T")</f>
        <v>VIPOCLT</v>
      </c>
      <c r="E112" s="6" t="s">
        <v>1185</v>
      </c>
      <c r="F112" s="7">
        <v>44238.9375</v>
      </c>
      <c r="G112" s="61">
        <f>ReloadStatusTable[[#This Row],[Forecasted Reload Completion Time (MT)]]+1/24</f>
        <v>44238.979166666664</v>
      </c>
      <c r="H112" s="35" t="str">
        <f>IF(ReloadStatusTable[[#This Row],[Actual Completion time (MT)]]="","not done yet","Complete")</f>
        <v>not done yet</v>
      </c>
      <c r="I112" s="7" t="str">
        <f>_xlfn.XLOOKUP(CONCATENATE(ReloadStatusTable[[#This Row],[Table]],TEXT(Process_Date,"yyyy-mm-dd")),'Daily_Completion Status'!F:F,'Daily_Completion Status'!H:H,"",0)</f>
        <v/>
      </c>
      <c r="J112" s="74" t="e">
        <f>ReloadStatusTable[[#This Row],[Actual Completion time (MT)]]+1/24</f>
        <v>#VALUE!</v>
      </c>
      <c r="K11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VAN-INFOCAST-NDW-DEN-OCL-DLY</v>
      </c>
      <c r="L112" s="17" t="s">
        <v>1186</v>
      </c>
      <c r="M112" s="7">
        <v>44239.020833333336</v>
      </c>
      <c r="N112" s="34" t="str">
        <f>IF(ReloadStatusTable[[#This Row],[DWH Infocast Jobname]]="N/A","N/A",IF(ReloadStatusTable[[#This Row],[DWH Infocast File Actual Delivery Time (MT)]]="","not delivered yet","Delivered"))</f>
        <v>not delivered yet</v>
      </c>
      <c r="O11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2" s="20" t="e">
        <f>ReloadStatusTable[[#This Row],[DWH Infocast File Actual Delivery Time (MT)]] + 1/24</f>
        <v>#VALUE!</v>
      </c>
      <c r="Q112" s="52"/>
      <c r="R112" s="86"/>
      <c r="S112">
        <v>506</v>
      </c>
      <c r="T112">
        <v>80000</v>
      </c>
    </row>
    <row r="113" spans="1:20" ht="26.25" customHeight="1" x14ac:dyDescent="0.3">
      <c r="A113" s="49" t="s">
        <v>369</v>
      </c>
      <c r="B113" s="6" t="s">
        <v>1183</v>
      </c>
      <c r="C113" s="6" t="s">
        <v>1184</v>
      </c>
      <c r="D113" s="58" t="str">
        <f>_xlfn.TEXTJOIN("",TRUE, "VIP",ReloadStatusTable[[#This Row],[Abbreviation]],"T")</f>
        <v>VIPOCLT</v>
      </c>
      <c r="E113" s="6" t="s">
        <v>1185</v>
      </c>
      <c r="F113" s="7">
        <v>44238.9375</v>
      </c>
      <c r="G113" s="61">
        <f>ReloadStatusTable[[#This Row],[Forecasted Reload Completion Time (MT)]]+1/24</f>
        <v>44238.979166666664</v>
      </c>
      <c r="H113" s="35" t="str">
        <f>IF(ReloadStatusTable[[#This Row],[Actual Completion time (MT)]]="","not done yet","Complete")</f>
        <v>not done yet</v>
      </c>
      <c r="I113" s="7" t="str">
        <f>_xlfn.XLOOKUP(CONCATENATE(ReloadStatusTable[[#This Row],[Table]],TEXT(Process_Date,"yyyy-mm-dd")),'Daily_Completion Status'!F:F,'Daily_Completion Status'!H:H,"",0)</f>
        <v/>
      </c>
      <c r="J113" s="74" t="e">
        <f>ReloadStatusTable[[#This Row],[Actual Completion time (MT)]]+1/24</f>
        <v>#VALUE!</v>
      </c>
      <c r="K11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VAN-INFOCAST-NDW-SLC-OCL-DLY</v>
      </c>
      <c r="L113" s="17" t="s">
        <v>1186</v>
      </c>
      <c r="M113" s="7">
        <v>44239.020833333336</v>
      </c>
      <c r="N113" s="35" t="str">
        <f>IF(ReloadStatusTable[[#This Row],[DWH Infocast Jobname]]="N/A","N/A",IF(ReloadStatusTable[[#This Row],[DWH Infocast File Actual Delivery Time (MT)]]="","not delivered yet","Delivered"))</f>
        <v>not delivered yet</v>
      </c>
      <c r="O11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3" s="20" t="e">
        <f>ReloadStatusTable[[#This Row],[DWH Infocast File Actual Delivery Time (MT)]] + 1/24</f>
        <v>#VALUE!</v>
      </c>
      <c r="Q113" s="52"/>
      <c r="R113" s="86"/>
    </row>
    <row r="114" spans="1:20" ht="26.25" customHeight="1" x14ac:dyDescent="0.3">
      <c r="A114" s="49" t="s">
        <v>489</v>
      </c>
      <c r="B114" s="6" t="s">
        <v>1183</v>
      </c>
      <c r="C114" s="6" t="s">
        <v>1184</v>
      </c>
      <c r="D114" s="58" t="str">
        <f>_xlfn.TEXTJOIN("",TRUE, "VIP",ReloadStatusTable[[#This Row],[Abbreviation]],"T")</f>
        <v>VIPOCLT</v>
      </c>
      <c r="E114" s="6" t="s">
        <v>1185</v>
      </c>
      <c r="F114" s="7">
        <v>44238.9375</v>
      </c>
      <c r="G114" s="61">
        <f>ReloadStatusTable[[#This Row],[Forecasted Reload Completion Time (MT)]]+1/24</f>
        <v>44238.979166666664</v>
      </c>
      <c r="H114" s="35" t="str">
        <f>IF(ReloadStatusTable[[#This Row],[Actual Completion time (MT)]]="","not done yet","Complete")</f>
        <v>not done yet</v>
      </c>
      <c r="I114" s="7" t="str">
        <f>_xlfn.XLOOKUP(CONCATENATE(ReloadStatusTable[[#This Row],[Table]],TEXT(Process_Date,"yyyy-mm-dd")),'Daily_Completion Status'!F:F,'Daily_Completion Status'!H:H,"",0)</f>
        <v/>
      </c>
      <c r="J114" s="74" t="e">
        <f>ReloadStatusTable[[#This Row],[Actual Completion time (MT)]]+1/24</f>
        <v>#VALUE!</v>
      </c>
      <c r="K11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VAN-INFOCAST-NDW-WOM-OCL-DLY</v>
      </c>
      <c r="L114" s="17" t="s">
        <v>1186</v>
      </c>
      <c r="M114" s="7">
        <v>44239.020833333336</v>
      </c>
      <c r="N114" s="35" t="str">
        <f>IF(ReloadStatusTable[[#This Row],[DWH Infocast Jobname]]="N/A","N/A",IF(ReloadStatusTable[[#This Row],[DWH Infocast File Actual Delivery Time (MT)]]="","not delivered yet","Delivered"))</f>
        <v>not delivered yet</v>
      </c>
      <c r="O11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4" s="20" t="e">
        <f>ReloadStatusTable[[#This Row],[DWH Infocast File Actual Delivery Time (MT)]] + 1/24</f>
        <v>#VALUE!</v>
      </c>
      <c r="Q114" s="52"/>
      <c r="R114" s="86"/>
    </row>
    <row r="115" spans="1:20" ht="26.25" customHeight="1" x14ac:dyDescent="0.3">
      <c r="A115" s="56" t="s">
        <v>8</v>
      </c>
      <c r="B115" s="6" t="s">
        <v>1183</v>
      </c>
      <c r="C115" s="6" t="s">
        <v>1187</v>
      </c>
      <c r="D115" s="57" t="str">
        <f>_xlfn.TEXTJOIN("",TRUE, "VIP",ReloadStatusTable[[#This Row],[Abbreviation]],"T")</f>
        <v>VIPOOLT</v>
      </c>
      <c r="E115" s="6" t="s">
        <v>1188</v>
      </c>
      <c r="F115" s="7">
        <v>44238.9375</v>
      </c>
      <c r="G115" s="61">
        <f>ReloadStatusTable[[#This Row],[Forecasted Reload Completion Time (MT)]]+1/24</f>
        <v>44238.979166666664</v>
      </c>
      <c r="H115" s="35" t="str">
        <f>IF(ReloadStatusTable[[#This Row],[Actual Completion time (MT)]]="","not done yet","Complete")</f>
        <v>not done yet</v>
      </c>
      <c r="I115" s="7" t="str">
        <f>_xlfn.XLOOKUP(CONCATENATE(ReloadStatusTable[[#This Row],[Table]],TEXT(Process_Date,"yyyy-mm-dd")),'Daily_Completion Status'!F:F,'Daily_Completion Status'!H:H,"",0)</f>
        <v/>
      </c>
      <c r="J115" s="74" t="e">
        <f>ReloadStatusTable[[#This Row],[Actual Completion time (MT)]]+1/24</f>
        <v>#VALUE!</v>
      </c>
      <c r="K11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VAN-INFOCAST-NDW-DEN-OOL-DLY</v>
      </c>
      <c r="L115" s="17" t="s">
        <v>1189</v>
      </c>
      <c r="M115" s="7">
        <v>44239.020833333336</v>
      </c>
      <c r="N115" s="34" t="str">
        <f>IF(ReloadStatusTable[[#This Row],[DWH Infocast Jobname]]="N/A","N/A",IF(ReloadStatusTable[[#This Row],[DWH Infocast File Actual Delivery Time (MT)]]="","not delivered yet","Delivered"))</f>
        <v>not delivered yet</v>
      </c>
      <c r="O11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5" s="20" t="e">
        <f>ReloadStatusTable[[#This Row],[DWH Infocast File Actual Delivery Time (MT)]] + 1/24</f>
        <v>#VALUE!</v>
      </c>
      <c r="Q115" s="52"/>
      <c r="R115" s="86"/>
      <c r="S115">
        <v>64400</v>
      </c>
      <c r="T115">
        <v>64400</v>
      </c>
    </row>
    <row r="116" spans="1:20" ht="26.25" customHeight="1" x14ac:dyDescent="0.3">
      <c r="A116" s="49" t="s">
        <v>369</v>
      </c>
      <c r="B116" s="6" t="s">
        <v>1183</v>
      </c>
      <c r="C116" s="6" t="s">
        <v>1187</v>
      </c>
      <c r="D116" s="58" t="str">
        <f>_xlfn.TEXTJOIN("",TRUE, "VIP",ReloadStatusTable[[#This Row],[Abbreviation]],"T")</f>
        <v>VIPOOLT</v>
      </c>
      <c r="E116" s="6" t="s">
        <v>1188</v>
      </c>
      <c r="F116" s="7">
        <v>44238.9375</v>
      </c>
      <c r="G116" s="61">
        <f>ReloadStatusTable[[#This Row],[Forecasted Reload Completion Time (MT)]]+1/24</f>
        <v>44238.979166666664</v>
      </c>
      <c r="H116" s="35" t="str">
        <f>IF(ReloadStatusTable[[#This Row],[Actual Completion time (MT)]]="","not done yet","Complete")</f>
        <v>not done yet</v>
      </c>
      <c r="I116" s="7" t="str">
        <f>_xlfn.XLOOKUP(CONCATENATE(ReloadStatusTable[[#This Row],[Table]],TEXT(Process_Date,"yyyy-mm-dd")),'Daily_Completion Status'!F:F,'Daily_Completion Status'!H:H,"",0)</f>
        <v/>
      </c>
      <c r="J116" s="74" t="e">
        <f>ReloadStatusTable[[#This Row],[Actual Completion time (MT)]]+1/24</f>
        <v>#VALUE!</v>
      </c>
      <c r="K11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VAN-INFOCAST-NDW-SLC-OOL-DLY</v>
      </c>
      <c r="L116" s="17" t="s">
        <v>1189</v>
      </c>
      <c r="M116" s="7">
        <v>44239.020833333336</v>
      </c>
      <c r="N116" s="35" t="str">
        <f>IF(ReloadStatusTable[[#This Row],[DWH Infocast Jobname]]="N/A","N/A",IF(ReloadStatusTable[[#This Row],[DWH Infocast File Actual Delivery Time (MT)]]="","not delivered yet","Delivered"))</f>
        <v>not delivered yet</v>
      </c>
      <c r="O11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6" s="20" t="e">
        <f>ReloadStatusTable[[#This Row],[DWH Infocast File Actual Delivery Time (MT)]] + 1/24</f>
        <v>#VALUE!</v>
      </c>
      <c r="Q116" s="52"/>
      <c r="R116" s="86"/>
    </row>
    <row r="117" spans="1:20" ht="26.25" customHeight="1" x14ac:dyDescent="0.3">
      <c r="A117" s="49" t="s">
        <v>489</v>
      </c>
      <c r="B117" s="6" t="s">
        <v>1183</v>
      </c>
      <c r="C117" s="6" t="s">
        <v>1187</v>
      </c>
      <c r="D117" s="58" t="str">
        <f>_xlfn.TEXTJOIN("",TRUE, "VIP",ReloadStatusTable[[#This Row],[Abbreviation]],"T")</f>
        <v>VIPOOLT</v>
      </c>
      <c r="E117" s="6" t="s">
        <v>1188</v>
      </c>
      <c r="F117" s="7">
        <v>44238.9375</v>
      </c>
      <c r="G117" s="61">
        <f>ReloadStatusTable[[#This Row],[Forecasted Reload Completion Time (MT)]]+1/24</f>
        <v>44238.979166666664</v>
      </c>
      <c r="H117" s="35" t="str">
        <f>IF(ReloadStatusTable[[#This Row],[Actual Completion time (MT)]]="","not done yet","Complete")</f>
        <v>not done yet</v>
      </c>
      <c r="I117" s="7" t="str">
        <f>_xlfn.XLOOKUP(CONCATENATE(ReloadStatusTable[[#This Row],[Table]],TEXT(Process_Date,"yyyy-mm-dd")),'Daily_Completion Status'!F:F,'Daily_Completion Status'!H:H,"",0)</f>
        <v/>
      </c>
      <c r="J117" s="74" t="e">
        <f>ReloadStatusTable[[#This Row],[Actual Completion time (MT)]]+1/24</f>
        <v>#VALUE!</v>
      </c>
      <c r="K11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VAN-INFOCAST-NDW-WOM-OOL-DLY</v>
      </c>
      <c r="L117" s="17" t="s">
        <v>1189</v>
      </c>
      <c r="M117" s="7">
        <v>44239.020833333336</v>
      </c>
      <c r="N117" s="35" t="str">
        <f>IF(ReloadStatusTable[[#This Row],[DWH Infocast Jobname]]="N/A","N/A",IF(ReloadStatusTable[[#This Row],[DWH Infocast File Actual Delivery Time (MT)]]="","not delivered yet","Delivered"))</f>
        <v>not delivered yet</v>
      </c>
      <c r="O11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7" s="20" t="e">
        <f>ReloadStatusTable[[#This Row],[DWH Infocast File Actual Delivery Time (MT)]] + 1/24</f>
        <v>#VALUE!</v>
      </c>
      <c r="Q117" s="52"/>
      <c r="R117" s="86"/>
    </row>
    <row r="118" spans="1:20" ht="26.25" customHeight="1" x14ac:dyDescent="0.3">
      <c r="A118" s="56" t="s">
        <v>8</v>
      </c>
      <c r="B118" s="6" t="s">
        <v>1183</v>
      </c>
      <c r="C118" s="6" t="s">
        <v>1190</v>
      </c>
      <c r="D118" s="57" t="str">
        <f>_xlfn.TEXTJOIN("",TRUE, "VIP",ReloadStatusTable[[#This Row],[Abbreviation]],"T")</f>
        <v>VIPOTLT</v>
      </c>
      <c r="E118" s="6" t="s">
        <v>1191</v>
      </c>
      <c r="F118" s="7">
        <v>44238.9375</v>
      </c>
      <c r="G118" s="61">
        <f>ReloadStatusTable[[#This Row],[Forecasted Reload Completion Time (MT)]]+1/24</f>
        <v>44238.979166666664</v>
      </c>
      <c r="H118" s="35" t="str">
        <f>IF(ReloadStatusTable[[#This Row],[Actual Completion time (MT)]]="","not done yet","Complete")</f>
        <v>not done yet</v>
      </c>
      <c r="I118" s="7" t="str">
        <f>_xlfn.XLOOKUP(CONCATENATE(ReloadStatusTable[[#This Row],[Table]],TEXT(Process_Date,"yyyy-mm-dd")),'Daily_Completion Status'!F:F,'Daily_Completion Status'!H:H,"",0)</f>
        <v/>
      </c>
      <c r="J118" s="74" t="e">
        <f>ReloadStatusTable[[#This Row],[Actual Completion time (MT)]]+1/24</f>
        <v>#VALUE!</v>
      </c>
      <c r="K11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VAN-INFOCAST-NDW-DEN-OTL-DLY</v>
      </c>
      <c r="L118" s="17" t="s">
        <v>1192</v>
      </c>
      <c r="M118" s="7">
        <v>44239.020833333336</v>
      </c>
      <c r="N118" s="34" t="str">
        <f>IF(ReloadStatusTable[[#This Row],[DWH Infocast Jobname]]="N/A","N/A",IF(ReloadStatusTable[[#This Row],[DWH Infocast File Actual Delivery Time (MT)]]="","not delivered yet","Delivered"))</f>
        <v>not delivered yet</v>
      </c>
      <c r="O11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8" s="20" t="e">
        <f>ReloadStatusTable[[#This Row],[DWH Infocast File Actual Delivery Time (MT)]] + 1/24</f>
        <v>#VALUE!</v>
      </c>
      <c r="Q118" s="52"/>
      <c r="R118" s="86"/>
      <c r="T118">
        <v>42121</v>
      </c>
    </row>
    <row r="119" spans="1:20" ht="26.25" customHeight="1" x14ac:dyDescent="0.3">
      <c r="A119" s="49" t="s">
        <v>369</v>
      </c>
      <c r="B119" s="6" t="s">
        <v>1183</v>
      </c>
      <c r="C119" s="6" t="s">
        <v>1190</v>
      </c>
      <c r="D119" s="58" t="str">
        <f>_xlfn.TEXTJOIN("",TRUE, "VIP",ReloadStatusTable[[#This Row],[Abbreviation]],"T")</f>
        <v>VIPOTLT</v>
      </c>
      <c r="E119" s="6" t="s">
        <v>1191</v>
      </c>
      <c r="F119" s="7">
        <v>44238.9375</v>
      </c>
      <c r="G119" s="61">
        <f>ReloadStatusTable[[#This Row],[Forecasted Reload Completion Time (MT)]]+1/24</f>
        <v>44238.979166666664</v>
      </c>
      <c r="H119" s="35" t="str">
        <f>IF(ReloadStatusTable[[#This Row],[Actual Completion time (MT)]]="","not done yet","Complete")</f>
        <v>not done yet</v>
      </c>
      <c r="I119" s="7" t="str">
        <f>_xlfn.XLOOKUP(CONCATENATE(ReloadStatusTable[[#This Row],[Table]],TEXT(Process_Date,"yyyy-mm-dd")),'Daily_Completion Status'!F:F,'Daily_Completion Status'!H:H,"",0)</f>
        <v/>
      </c>
      <c r="J119" s="74" t="e">
        <f>ReloadStatusTable[[#This Row],[Actual Completion time (MT)]]+1/24</f>
        <v>#VALUE!</v>
      </c>
      <c r="K119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VAN-INFOCAST-NDW-SLC-OTL-DLY</v>
      </c>
      <c r="L119" s="17" t="s">
        <v>1192</v>
      </c>
      <c r="M119" s="7">
        <v>44239.020833333336</v>
      </c>
      <c r="N119" s="35" t="str">
        <f>IF(ReloadStatusTable[[#This Row],[DWH Infocast Jobname]]="N/A","N/A",IF(ReloadStatusTable[[#This Row],[DWH Infocast File Actual Delivery Time (MT)]]="","not delivered yet","Delivered"))</f>
        <v>not delivered yet</v>
      </c>
      <c r="O119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19" s="20" t="e">
        <f>ReloadStatusTable[[#This Row],[DWH Infocast File Actual Delivery Time (MT)]] + 1/24</f>
        <v>#VALUE!</v>
      </c>
      <c r="Q119" s="52"/>
      <c r="R119" s="86"/>
    </row>
    <row r="120" spans="1:20" ht="26.25" customHeight="1" x14ac:dyDescent="0.3">
      <c r="A120" s="49" t="s">
        <v>489</v>
      </c>
      <c r="B120" s="6" t="s">
        <v>1183</v>
      </c>
      <c r="C120" s="6" t="s">
        <v>1190</v>
      </c>
      <c r="D120" s="58" t="str">
        <f>_xlfn.TEXTJOIN("",TRUE, "VIP",ReloadStatusTable[[#This Row],[Abbreviation]],"T")</f>
        <v>VIPOTLT</v>
      </c>
      <c r="E120" s="6" t="s">
        <v>1191</v>
      </c>
      <c r="F120" s="7">
        <v>44238.9375</v>
      </c>
      <c r="G120" s="61">
        <f>ReloadStatusTable[[#This Row],[Forecasted Reload Completion Time (MT)]]+1/24</f>
        <v>44238.979166666664</v>
      </c>
      <c r="H120" s="35" t="str">
        <f>IF(ReloadStatusTable[[#This Row],[Actual Completion time (MT)]]="","not done yet","Complete")</f>
        <v>not done yet</v>
      </c>
      <c r="I120" s="7" t="str">
        <f>_xlfn.XLOOKUP(CONCATENATE(ReloadStatusTable[[#This Row],[Table]],TEXT(Process_Date,"yyyy-mm-dd")),'Daily_Completion Status'!F:F,'Daily_Completion Status'!H:H,"",0)</f>
        <v/>
      </c>
      <c r="J120" s="74" t="e">
        <f>ReloadStatusTable[[#This Row],[Actual Completion time (MT)]]+1/24</f>
        <v>#VALUE!</v>
      </c>
      <c r="K120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VAN-INFOCAST-NDW-WOM-OTL-DLY</v>
      </c>
      <c r="L120" s="17" t="s">
        <v>1192</v>
      </c>
      <c r="M120" s="7">
        <v>44239.020833333336</v>
      </c>
      <c r="N120" s="35" t="str">
        <f>IF(ReloadStatusTable[[#This Row],[DWH Infocast Jobname]]="N/A","N/A",IF(ReloadStatusTable[[#This Row],[DWH Infocast File Actual Delivery Time (MT)]]="","not delivered yet","Delivered"))</f>
        <v>not delivered yet</v>
      </c>
      <c r="O120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0" s="20" t="e">
        <f>ReloadStatusTable[[#This Row],[DWH Infocast File Actual Delivery Time (MT)]] + 1/24</f>
        <v>#VALUE!</v>
      </c>
      <c r="Q120" s="52"/>
      <c r="R120" s="86"/>
    </row>
    <row r="121" spans="1:20" ht="26.25" customHeight="1" x14ac:dyDescent="0.3">
      <c r="A121" s="56" t="s">
        <v>8</v>
      </c>
      <c r="B121" s="6" t="s">
        <v>1183</v>
      </c>
      <c r="C121" s="6" t="s">
        <v>1193</v>
      </c>
      <c r="D121" s="57" t="str">
        <f>_xlfn.TEXTJOIN("",TRUE, "VIP",ReloadStatusTable[[#This Row],[Abbreviation]],"T")</f>
        <v>VIPOCRT</v>
      </c>
      <c r="E121" s="6" t="s">
        <v>1194</v>
      </c>
      <c r="F121" s="7">
        <v>44238.9375</v>
      </c>
      <c r="G121" s="61">
        <f>ReloadStatusTable[[#This Row],[Forecasted Reload Completion Time (MT)]]+1/24</f>
        <v>44238.979166666664</v>
      </c>
      <c r="H121" s="35" t="str">
        <f>IF(ReloadStatusTable[[#This Row],[Actual Completion time (MT)]]="","not done yet","Complete")</f>
        <v>not done yet</v>
      </c>
      <c r="I121" s="7" t="str">
        <f>_xlfn.XLOOKUP(CONCATENATE(ReloadStatusTable[[#This Row],[Table]],TEXT(Process_Date,"yyyy-mm-dd")),'Daily_Completion Status'!F:F,'Daily_Completion Status'!H:H,"",0)</f>
        <v/>
      </c>
      <c r="J121" s="74" t="e">
        <f>ReloadStatusTable[[#This Row],[Actual Completion time (MT)]]+1/24</f>
        <v>#VALUE!</v>
      </c>
      <c r="K121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VAN-INFOCAST-NDW-DEN-OCR-DLY</v>
      </c>
      <c r="L121" s="17" t="s">
        <v>1195</v>
      </c>
      <c r="M121" s="7">
        <v>44239.020833333336</v>
      </c>
      <c r="N121" s="34" t="str">
        <f>IF(ReloadStatusTable[[#This Row],[DWH Infocast Jobname]]="N/A","N/A",IF(ReloadStatusTable[[#This Row],[DWH Infocast File Actual Delivery Time (MT)]]="","not delivered yet","Delivered"))</f>
        <v>not delivered yet</v>
      </c>
      <c r="O121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1" s="20" t="e">
        <f>ReloadStatusTable[[#This Row],[DWH Infocast File Actual Delivery Time (MT)]] + 1/24</f>
        <v>#VALUE!</v>
      </c>
      <c r="Q121" s="52"/>
      <c r="R121" s="86"/>
      <c r="S121">
        <v>323</v>
      </c>
      <c r="T121">
        <v>21600</v>
      </c>
    </row>
    <row r="122" spans="1:20" ht="26.25" customHeight="1" x14ac:dyDescent="0.3">
      <c r="A122" s="49" t="s">
        <v>369</v>
      </c>
      <c r="B122" s="6" t="s">
        <v>1183</v>
      </c>
      <c r="C122" s="6" t="s">
        <v>1193</v>
      </c>
      <c r="D122" s="58" t="str">
        <f>_xlfn.TEXTJOIN("",TRUE, "VIP",ReloadStatusTable[[#This Row],[Abbreviation]],"T")</f>
        <v>VIPOCRT</v>
      </c>
      <c r="E122" s="6" t="s">
        <v>1194</v>
      </c>
      <c r="F122" s="7">
        <v>44238.9375</v>
      </c>
      <c r="G122" s="61">
        <f>ReloadStatusTable[[#This Row],[Forecasted Reload Completion Time (MT)]]+1/24</f>
        <v>44238.979166666664</v>
      </c>
      <c r="H122" s="35" t="str">
        <f>IF(ReloadStatusTable[[#This Row],[Actual Completion time (MT)]]="","not done yet","Complete")</f>
        <v>not done yet</v>
      </c>
      <c r="I122" s="7" t="str">
        <f>_xlfn.XLOOKUP(CONCATENATE(ReloadStatusTable[[#This Row],[Table]],TEXT(Process_Date,"yyyy-mm-dd")),'Daily_Completion Status'!F:F,'Daily_Completion Status'!H:H,"",0)</f>
        <v/>
      </c>
      <c r="J122" s="74" t="e">
        <f>ReloadStatusTable[[#This Row],[Actual Completion time (MT)]]+1/24</f>
        <v>#VALUE!</v>
      </c>
      <c r="K122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VAN-INFOCAST-NDW-SLC-OCR-DLY</v>
      </c>
      <c r="L122" s="17" t="s">
        <v>1195</v>
      </c>
      <c r="M122" s="7">
        <v>44239.020833333336</v>
      </c>
      <c r="N122" s="35" t="str">
        <f>IF(ReloadStatusTable[[#This Row],[DWH Infocast Jobname]]="N/A","N/A",IF(ReloadStatusTable[[#This Row],[DWH Infocast File Actual Delivery Time (MT)]]="","not delivered yet","Delivered"))</f>
        <v>not delivered yet</v>
      </c>
      <c r="O122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2" s="20" t="e">
        <f>ReloadStatusTable[[#This Row],[DWH Infocast File Actual Delivery Time (MT)]] + 1/24</f>
        <v>#VALUE!</v>
      </c>
      <c r="Q122" s="52"/>
      <c r="R122" s="86"/>
    </row>
    <row r="123" spans="1:20" ht="26.25" customHeight="1" x14ac:dyDescent="0.3">
      <c r="A123" s="49" t="s">
        <v>489</v>
      </c>
      <c r="B123" s="6" t="s">
        <v>1183</v>
      </c>
      <c r="C123" s="6" t="s">
        <v>1193</v>
      </c>
      <c r="D123" s="58" t="str">
        <f>_xlfn.TEXTJOIN("",TRUE, "VIP",ReloadStatusTable[[#This Row],[Abbreviation]],"T")</f>
        <v>VIPOCRT</v>
      </c>
      <c r="E123" s="6" t="s">
        <v>1194</v>
      </c>
      <c r="F123" s="7">
        <v>44238.9375</v>
      </c>
      <c r="G123" s="61">
        <f>ReloadStatusTable[[#This Row],[Forecasted Reload Completion Time (MT)]]+1/24</f>
        <v>44238.979166666664</v>
      </c>
      <c r="H123" s="35" t="str">
        <f>IF(ReloadStatusTable[[#This Row],[Actual Completion time (MT)]]="","not done yet","Complete")</f>
        <v>not done yet</v>
      </c>
      <c r="I123" s="7" t="str">
        <f>_xlfn.XLOOKUP(CONCATENATE(ReloadStatusTable[[#This Row],[Table]],TEXT(Process_Date,"yyyy-mm-dd")),'Daily_Completion Status'!F:F,'Daily_Completion Status'!H:H,"",0)</f>
        <v/>
      </c>
      <c r="J123" s="74" t="e">
        <f>ReloadStatusTable[[#This Row],[Actual Completion time (MT)]]+1/24</f>
        <v>#VALUE!</v>
      </c>
      <c r="K123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VAN-INFOCAST-NDW-WOM-OCR-DLY</v>
      </c>
      <c r="L123" s="17" t="s">
        <v>1195</v>
      </c>
      <c r="M123" s="7">
        <v>44239.020833333336</v>
      </c>
      <c r="N123" s="35" t="str">
        <f>IF(ReloadStatusTable[[#This Row],[DWH Infocast Jobname]]="N/A","N/A",IF(ReloadStatusTable[[#This Row],[DWH Infocast File Actual Delivery Time (MT)]]="","not delivered yet","Delivered"))</f>
        <v>not delivered yet</v>
      </c>
      <c r="O123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3" s="20" t="e">
        <f>ReloadStatusTable[[#This Row],[DWH Infocast File Actual Delivery Time (MT)]] + 1/24</f>
        <v>#VALUE!</v>
      </c>
      <c r="Q123" s="52"/>
      <c r="R123" s="86"/>
    </row>
    <row r="124" spans="1:20" ht="26.25" customHeight="1" x14ac:dyDescent="0.3">
      <c r="A124" s="56" t="s">
        <v>8</v>
      </c>
      <c r="B124" s="6" t="s">
        <v>1183</v>
      </c>
      <c r="C124" s="6" t="s">
        <v>1196</v>
      </c>
      <c r="D124" s="57" t="str">
        <f>_xlfn.TEXTJOIN("",TRUE, "VIP",ReloadStatusTable[[#This Row],[Abbreviation]],"T")</f>
        <v>VIPOORT</v>
      </c>
      <c r="E124" s="6" t="s">
        <v>1197</v>
      </c>
      <c r="F124" s="7">
        <v>44238.9375</v>
      </c>
      <c r="G124" s="61">
        <f>ReloadStatusTable[[#This Row],[Forecasted Reload Completion Time (MT)]]+1/24</f>
        <v>44238.979166666664</v>
      </c>
      <c r="H124" s="35" t="str">
        <f>IF(ReloadStatusTable[[#This Row],[Actual Completion time (MT)]]="","not done yet","Complete")</f>
        <v>not done yet</v>
      </c>
      <c r="I124" s="7" t="str">
        <f>_xlfn.XLOOKUP(CONCATENATE(ReloadStatusTable[[#This Row],[Table]],TEXT(Process_Date,"yyyy-mm-dd")),'Daily_Completion Status'!F:F,'Daily_Completion Status'!H:H,"",0)</f>
        <v/>
      </c>
      <c r="J124" s="74" t="e">
        <f>ReloadStatusTable[[#This Row],[Actual Completion time (MT)]]+1/24</f>
        <v>#VALUE!</v>
      </c>
      <c r="K124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VAN-INFOCAST-NDW-DEN-OOR-DLY</v>
      </c>
      <c r="L124" s="17" t="s">
        <v>1198</v>
      </c>
      <c r="M124" s="7">
        <v>44239.020833333336</v>
      </c>
      <c r="N124" s="34" t="str">
        <f>IF(ReloadStatusTable[[#This Row],[DWH Infocast Jobname]]="N/A","N/A",IF(ReloadStatusTable[[#This Row],[DWH Infocast File Actual Delivery Time (MT)]]="","not delivered yet","Delivered"))</f>
        <v>not delivered yet</v>
      </c>
      <c r="O124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4" s="20" t="e">
        <f>ReloadStatusTable[[#This Row],[DWH Infocast File Actual Delivery Time (MT)]] + 1/24</f>
        <v>#VALUE!</v>
      </c>
      <c r="Q124" s="52"/>
      <c r="R124" s="86"/>
      <c r="S124">
        <v>336</v>
      </c>
      <c r="T124">
        <v>30300</v>
      </c>
    </row>
    <row r="125" spans="1:20" ht="26.25" customHeight="1" x14ac:dyDescent="0.3">
      <c r="A125" s="49" t="s">
        <v>369</v>
      </c>
      <c r="B125" s="6" t="s">
        <v>1183</v>
      </c>
      <c r="C125" s="6" t="s">
        <v>1196</v>
      </c>
      <c r="D125" s="58" t="str">
        <f>_xlfn.TEXTJOIN("",TRUE, "VIP",ReloadStatusTable[[#This Row],[Abbreviation]],"T")</f>
        <v>VIPOORT</v>
      </c>
      <c r="E125" s="6" t="s">
        <v>1197</v>
      </c>
      <c r="F125" s="7">
        <v>44238.9375</v>
      </c>
      <c r="G125" s="61">
        <f>ReloadStatusTable[[#This Row],[Forecasted Reload Completion Time (MT)]]+1/24</f>
        <v>44238.979166666664</v>
      </c>
      <c r="H125" s="35" t="str">
        <f>IF(ReloadStatusTable[[#This Row],[Actual Completion time (MT)]]="","not done yet","Complete")</f>
        <v>not done yet</v>
      </c>
      <c r="I125" s="7" t="str">
        <f>_xlfn.XLOOKUP(CONCATENATE(ReloadStatusTable[[#This Row],[Table]],TEXT(Process_Date,"yyyy-mm-dd")),'Daily_Completion Status'!F:F,'Daily_Completion Status'!H:H,"",0)</f>
        <v/>
      </c>
      <c r="J125" s="74" t="e">
        <f>ReloadStatusTable[[#This Row],[Actual Completion time (MT)]]+1/24</f>
        <v>#VALUE!</v>
      </c>
      <c r="K125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VAN-INFOCAST-NDW-SLC-OOR-DLY</v>
      </c>
      <c r="L125" s="17" t="s">
        <v>1198</v>
      </c>
      <c r="M125" s="7">
        <v>44239.020833333336</v>
      </c>
      <c r="N125" s="35" t="str">
        <f>IF(ReloadStatusTable[[#This Row],[DWH Infocast Jobname]]="N/A","N/A",IF(ReloadStatusTable[[#This Row],[DWH Infocast File Actual Delivery Time (MT)]]="","not delivered yet","Delivered"))</f>
        <v>not delivered yet</v>
      </c>
      <c r="O125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5" s="20" t="e">
        <f>ReloadStatusTable[[#This Row],[DWH Infocast File Actual Delivery Time (MT)]] + 1/24</f>
        <v>#VALUE!</v>
      </c>
      <c r="Q125" s="52"/>
      <c r="R125" s="86"/>
      <c r="S125">
        <v>336</v>
      </c>
      <c r="T125">
        <v>30300</v>
      </c>
    </row>
    <row r="126" spans="1:20" ht="26.25" customHeight="1" x14ac:dyDescent="0.3">
      <c r="A126" s="49" t="s">
        <v>489</v>
      </c>
      <c r="B126" s="6" t="s">
        <v>1183</v>
      </c>
      <c r="C126" s="6" t="s">
        <v>1196</v>
      </c>
      <c r="D126" s="58" t="str">
        <f>_xlfn.TEXTJOIN("",TRUE, "VIP",ReloadStatusTable[[#This Row],[Abbreviation]],"T")</f>
        <v>VIPOORT</v>
      </c>
      <c r="E126" s="6" t="s">
        <v>1197</v>
      </c>
      <c r="F126" s="7">
        <v>44238.9375</v>
      </c>
      <c r="G126" s="61">
        <f>ReloadStatusTable[[#This Row],[Forecasted Reload Completion Time (MT)]]+1/24</f>
        <v>44238.979166666664</v>
      </c>
      <c r="H126" s="35" t="str">
        <f>IF(ReloadStatusTable[[#This Row],[Actual Completion time (MT)]]="","not done yet","Complete")</f>
        <v>not done yet</v>
      </c>
      <c r="I126" s="7" t="str">
        <f>_xlfn.XLOOKUP(CONCATENATE(ReloadStatusTable[[#This Row],[Table]],TEXT(Process_Date,"yyyy-mm-dd")),'Daily_Completion Status'!F:F,'Daily_Completion Status'!H:H,"",0)</f>
        <v/>
      </c>
      <c r="J126" s="74" t="e">
        <f>ReloadStatusTable[[#This Row],[Actual Completion time (MT)]]+1/24</f>
        <v>#VALUE!</v>
      </c>
      <c r="K126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VAN-INFOCAST-NDW-WOM-OOR-DLY</v>
      </c>
      <c r="L126" s="17" t="s">
        <v>1198</v>
      </c>
      <c r="M126" s="7">
        <v>44239.020833333336</v>
      </c>
      <c r="N126" s="35" t="str">
        <f>IF(ReloadStatusTable[[#This Row],[DWH Infocast Jobname]]="N/A","N/A",IF(ReloadStatusTable[[#This Row],[DWH Infocast File Actual Delivery Time (MT)]]="","not delivered yet","Delivered"))</f>
        <v>not delivered yet</v>
      </c>
      <c r="O126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6" s="20" t="e">
        <f>ReloadStatusTable[[#This Row],[DWH Infocast File Actual Delivery Time (MT)]] + 1/24</f>
        <v>#VALUE!</v>
      </c>
      <c r="Q126" s="52"/>
      <c r="R126" s="86"/>
    </row>
    <row r="127" spans="1:20" ht="26.25" customHeight="1" x14ac:dyDescent="0.3">
      <c r="A127" s="56" t="s">
        <v>8</v>
      </c>
      <c r="B127" s="6" t="s">
        <v>1183</v>
      </c>
      <c r="C127" s="6" t="s">
        <v>1199</v>
      </c>
      <c r="D127" s="57" t="str">
        <f>_xlfn.TEXTJOIN("",TRUE, "VIP",ReloadStatusTable[[#This Row],[Abbreviation]],"T")</f>
        <v>VIPOTRT</v>
      </c>
      <c r="E127" s="6" t="s">
        <v>1200</v>
      </c>
      <c r="F127" s="7">
        <v>44238.9375</v>
      </c>
      <c r="G127" s="61">
        <f>ReloadStatusTable[[#This Row],[Forecasted Reload Completion Time (MT)]]+1/24</f>
        <v>44238.979166666664</v>
      </c>
      <c r="H127" s="35" t="str">
        <f>IF(ReloadStatusTable[[#This Row],[Actual Completion time (MT)]]="","not done yet","Complete")</f>
        <v>not done yet</v>
      </c>
      <c r="I127" s="7" t="str">
        <f>_xlfn.XLOOKUP(CONCATENATE(ReloadStatusTable[[#This Row],[Table]],TEXT(Process_Date,"yyyy-mm-dd")),'Daily_Completion Status'!F:F,'Daily_Completion Status'!H:H,"",0)</f>
        <v/>
      </c>
      <c r="J127" s="74" t="e">
        <f>ReloadStatusTable[[#This Row],[Actual Completion time (MT)]]+1/24</f>
        <v>#VALUE!</v>
      </c>
      <c r="K127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VAN-INFOCAST-NDW-DEN-OTR-DLY</v>
      </c>
      <c r="L127" s="17" t="s">
        <v>1201</v>
      </c>
      <c r="M127" s="7">
        <v>44239.020833333336</v>
      </c>
      <c r="N127" s="34" t="str">
        <f>IF(ReloadStatusTable[[#This Row],[DWH Infocast Jobname]]="N/A","N/A",IF(ReloadStatusTable[[#This Row],[DWH Infocast File Actual Delivery Time (MT)]]="","not delivered yet","Delivered"))</f>
        <v>not delivered yet</v>
      </c>
      <c r="O127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7" s="20" t="e">
        <f>ReloadStatusTable[[#This Row],[DWH Infocast File Actual Delivery Time (MT)]] + 1/24</f>
        <v>#VALUE!</v>
      </c>
      <c r="Q127" s="52"/>
      <c r="R127" s="86"/>
      <c r="S127">
        <v>50</v>
      </c>
      <c r="T127">
        <v>30200</v>
      </c>
    </row>
    <row r="128" spans="1:20" ht="26.25" customHeight="1" x14ac:dyDescent="0.3">
      <c r="A128" s="49" t="s">
        <v>369</v>
      </c>
      <c r="B128" s="6" t="s">
        <v>1183</v>
      </c>
      <c r="C128" s="6" t="s">
        <v>1199</v>
      </c>
      <c r="D128" s="58" t="str">
        <f>_xlfn.TEXTJOIN("",TRUE, "VIP",ReloadStatusTable[[#This Row],[Abbreviation]],"T")</f>
        <v>VIPOTRT</v>
      </c>
      <c r="E128" s="6" t="s">
        <v>1200</v>
      </c>
      <c r="F128" s="7">
        <v>44238.9375</v>
      </c>
      <c r="G128" s="61">
        <f>ReloadStatusTable[[#This Row],[Forecasted Reload Completion Time (MT)]]+1/24</f>
        <v>44238.979166666664</v>
      </c>
      <c r="H128" s="35" t="str">
        <f>IF(ReloadStatusTable[[#This Row],[Actual Completion time (MT)]]="","not done yet","Complete")</f>
        <v>not done yet</v>
      </c>
      <c r="I128" s="7" t="str">
        <f>_xlfn.XLOOKUP(CONCATENATE(ReloadStatusTable[[#This Row],[Table]],TEXT(Process_Date,"yyyy-mm-dd")),'Daily_Completion Status'!F:F,'Daily_Completion Status'!H:H,"",0)</f>
        <v/>
      </c>
      <c r="J128" s="74" t="e">
        <f>ReloadStatusTable[[#This Row],[Actual Completion time (MT)]]+1/24</f>
        <v>#VALUE!</v>
      </c>
      <c r="K128" s="66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VAN-INFOCAST-NDW-SLC-OTR-DLY</v>
      </c>
      <c r="L128" s="17" t="s">
        <v>1201</v>
      </c>
      <c r="M128" s="7">
        <v>44239.020833333336</v>
      </c>
      <c r="N128" s="35" t="str">
        <f>IF(ReloadStatusTable[[#This Row],[DWH Infocast Jobname]]="N/A","N/A",IF(ReloadStatusTable[[#This Row],[DWH Infocast File Actual Delivery Time (MT)]]="","not delivered yet","Delivered"))</f>
        <v>not delivered yet</v>
      </c>
      <c r="O128" s="20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8" s="20" t="e">
        <f>ReloadStatusTable[[#This Row],[DWH Infocast File Actual Delivery Time (MT)]] + 1/24</f>
        <v>#VALUE!</v>
      </c>
      <c r="Q128" s="52"/>
      <c r="R128" s="86"/>
      <c r="S128">
        <v>50</v>
      </c>
      <c r="T128">
        <v>30200</v>
      </c>
    </row>
    <row r="129" spans="1:20" ht="26.25" customHeight="1" thickBot="1" x14ac:dyDescent="0.35">
      <c r="A129" s="50" t="s">
        <v>489</v>
      </c>
      <c r="B129" s="51" t="s">
        <v>1183</v>
      </c>
      <c r="C129" s="8" t="s">
        <v>1199</v>
      </c>
      <c r="D129" s="59" t="str">
        <f>_xlfn.TEXTJOIN("",TRUE, "VIP",ReloadStatusTable[[#This Row],[Abbreviation]],"T")</f>
        <v>VIPOTRT</v>
      </c>
      <c r="E129" s="8" t="s">
        <v>1200</v>
      </c>
      <c r="F129" s="7">
        <v>44238.9375</v>
      </c>
      <c r="G129" s="62">
        <f>ReloadStatusTable[[#This Row],[Forecasted Reload Completion Time (MT)]]+1/24</f>
        <v>44238.979166666664</v>
      </c>
      <c r="H129" s="47" t="str">
        <f>IF(ReloadStatusTable[[#This Row],[Actual Completion time (MT)]]="","not done yet","Complete")</f>
        <v>not done yet</v>
      </c>
      <c r="I129" s="9" t="str">
        <f>_xlfn.XLOOKUP(CONCATENATE(ReloadStatusTable[[#This Row],[Table]],TEXT(Process_Date,"yyyy-mm-dd")),'Daily_Completion Status'!F:F,'Daily_Completion Status'!H:H,"",0)</f>
        <v/>
      </c>
      <c r="J129" s="75" t="e">
        <f>ReloadStatusTable[[#This Row],[Actual Completion time (MT)]]+1/24</f>
        <v>#VALUE!</v>
      </c>
      <c r="K129" s="67" t="str">
        <f>_xlfn.TEXTJOIN("",TRUE, "VAN-INFOCAST-NDW-",ReloadStatusTable[[#This Row],[MSO]],"-",IF(ReloadStatusTable[[#This Row],[Abbreviation]]="HSB","HSE",IF(ReloadStatusTable[[#This Row],[Abbreviation]]="OJB","JOB",ReloadStatusTable[[#This Row],[Abbreviation]])),"-DLY")</f>
        <v>VAN-INFOCAST-NDW-WOM-OTR-DLY</v>
      </c>
      <c r="L129" s="18" t="s">
        <v>1201</v>
      </c>
      <c r="M129" s="7">
        <v>44239.020833333336</v>
      </c>
      <c r="N129" s="47" t="str">
        <f>IF(ReloadStatusTable[[#This Row],[DWH Infocast Jobname]]="N/A","N/A",IF(ReloadStatusTable[[#This Row],[DWH Infocast File Actual Delivery Time (MT)]]="","not delivered yet","Delivered"))</f>
        <v>not delivered yet</v>
      </c>
      <c r="O129" s="21" t="str">
        <f>IF(ReloadStatusTable[[#This Row],[DWH Infocast Jobname]]="N/A","N/A",IF(AND(_xlfn.XLOOKUP(ReloadStatusTable[[#This Row],[DWH Infocast Jobname]],'Infocast Autosys Job status'!B:B,'Infocast Autosys Job status'!F:F,"",0)&gt;($C$1 + (18/24)),_xlfn.XLOOKUP(ReloadStatusTable[[#This Row],[DWH Infocast Jobname]],'Infocast Autosys Job status'!B:B,'Infocast Autosys Job status'!F:F,"",0)&lt;($C$1 + 1 + (18/24))),_xlfn.XLOOKUP(ReloadStatusTable[[#This Row],[DWH Infocast Jobname]],'Infocast Autosys Job status'!B:B,'Infocast Autosys Job status'!F:F,"",0),""))</f>
        <v/>
      </c>
      <c r="P129" s="21" t="e">
        <f>ReloadStatusTable[[#This Row],[DWH Infocast File Actual Delivery Time (MT)]] + 1/24</f>
        <v>#VALUE!</v>
      </c>
      <c r="Q129" s="52"/>
      <c r="R129" s="86"/>
      <c r="S129">
        <v>50</v>
      </c>
      <c r="T129">
        <v>30200</v>
      </c>
    </row>
    <row r="130" spans="1:20" ht="15" thickTop="1" x14ac:dyDescent="0.3"/>
  </sheetData>
  <conditionalFormatting sqref="K4:L999 N4:P999">
    <cfRule type="expression" dxfId="23" priority="36" stopIfTrue="1">
      <formula>$N4="Delivered"</formula>
    </cfRule>
  </conditionalFormatting>
  <conditionalFormatting sqref="D4:E999 H4:J999">
    <cfRule type="expression" dxfId="22" priority="33" stopIfTrue="1">
      <formula>$H4="Validated"</formula>
    </cfRule>
    <cfRule type="expression" dxfId="21" priority="35" stopIfTrue="1">
      <formula>$H4="Complete"</formula>
    </cfRule>
  </conditionalFormatting>
  <hyperlinks>
    <hyperlink ref="E40" r:id="rId1" display="http://insidecsg.csgsystems.com/bbsdocs/content/ILMDoc/Vantage/doclib/Current/Vantage/Content/Documentation/OJA_JOBS_ALT_ADDR.htm?Highlight=OJA" xr:uid="{4DB3D88A-7A8C-4601-AEF3-ADAEB79191F8}"/>
    <hyperlink ref="E43" r:id="rId2" display="http://insidecsg.csgsystems.com/bbsdocs/content/ILMDoc/Vantage/doclib/Current/Vantage/Content/Documentation/OJB_JOBS.htm?Highlight=OJB" xr:uid="{81A769DC-21D5-4D81-949D-A3C7EF7336CC}"/>
    <hyperlink ref="E22" r:id="rId3" display="http://insidecsg.csgsystems.com/bbsdocs/content/ILMDoc/Vantage/doclib/Current/Vantage/Content/Documentation/OAJ_AUDIT.htm?Highlight=OAJ" xr:uid="{2F6469AB-29C8-4CC1-8D2E-4B78DE695B7F}"/>
    <hyperlink ref="E25" r:id="rId4" display="http://insidecsg.csgsystems.com/bbsdocs/content/ILMDoc/Vantage/doclib/Current/Vantage/Content/Documentation/OAO_AUDIT.htm?Highlight=OAO" xr:uid="{A668FD22-6F8C-4FAD-B676-A89D709747A1}"/>
    <hyperlink ref="E124" r:id="rId5" display="http://insidecsg.csgsystems.com/bbsdocs/content/ILMDoc/Vantage/doclib/Current/Vantage/Content/Documentation/OOR_ORDER_OPEN.htm?Highlight=OOR" xr:uid="{F2C5ED14-F89A-447B-92BB-E11DE7827746}"/>
    <hyperlink ref="E121" r:id="rId6" display="http://insidecsg.csgsystems.com/bbsdocs/content/ILMDoc/Vantage/doclib/Current/Vantage/Content/Documentation/OCR_ORDER_COMP.htm?Highlight=OCR" xr:uid="{F393DC9E-AF14-4A61-AC06-03CF1E62C534}"/>
    <hyperlink ref="E127" r:id="rId7" display="http://insidecsg.csgsystems.com/bbsdocs/content/ILMDoc/Vantage/doclib/Current/Vantage/Content/Documentation/OTR_TROUBLE_CALL.htm?Highlight=OTR" xr:uid="{4890D20F-C15D-49ED-AD06-A7F0F3B48674}"/>
    <hyperlink ref="E112" r:id="rId8" display="http://insidecsg.csgsystems.com/bbsdocs/content/ILMDoc/Vantage/doclib/Current/Vantage/Content/Documentation/OCL_ORDER_COMP_LOB.htm?Highlight=OCL" xr:uid="{A7DCC83C-DF55-42AC-A807-3162766CDFB1}"/>
    <hyperlink ref="E41" r:id="rId9" display="http://insidecsg.csgsystems.com/bbsdocs/content/ILMDoc/Vantage/doclib/Current/Vantage/Content/Documentation/OJA_JOBS_ALT_ADDR.htm?Highlight=OJA" xr:uid="{2DD99A7A-AC9F-4761-95C4-94D095D9FF77}"/>
    <hyperlink ref="E44" r:id="rId10" display="http://insidecsg.csgsystems.com/bbsdocs/content/ILMDoc/Vantage/doclib/Current/Vantage/Content/Documentation/OJB_JOBS.htm?Highlight=OJB" xr:uid="{B2674C75-C89F-4AB7-AAC1-19D51B4F0B68}"/>
    <hyperlink ref="E23" r:id="rId11" display="http://insidecsg.csgsystems.com/bbsdocs/content/ILMDoc/Vantage/doclib/Current/Vantage/Content/Documentation/OAJ_AUDIT.htm?Highlight=OAJ" xr:uid="{2D345EF3-AA33-443F-9541-DD9A561BF20A}"/>
    <hyperlink ref="E26" r:id="rId12" display="http://insidecsg.csgsystems.com/bbsdocs/content/ILMDoc/Vantage/doclib/Current/Vantage/Content/Documentation/OAO_AUDIT.htm?Highlight=OAO" xr:uid="{F2C4E948-C1CE-4CA0-B65D-21E689881DD5}"/>
    <hyperlink ref="E125" r:id="rId13" display="http://insidecsg.csgsystems.com/bbsdocs/content/ILMDoc/Vantage/doclib/Current/Vantage/Content/Documentation/OOR_ORDER_OPEN.htm?Highlight=OOR" xr:uid="{A9E4C4DC-33EB-43B3-A6E5-CE7E6A2CDD84}"/>
    <hyperlink ref="E122" r:id="rId14" display="http://insidecsg.csgsystems.com/bbsdocs/content/ILMDoc/Vantage/doclib/Current/Vantage/Content/Documentation/OCR_ORDER_COMP.htm?Highlight=OCR" xr:uid="{040436E6-9E86-40B1-97F5-75480F8F2D38}"/>
    <hyperlink ref="E128" r:id="rId15" display="http://insidecsg.csgsystems.com/bbsdocs/content/ILMDoc/Vantage/doclib/Current/Vantage/Content/Documentation/OTR_TROUBLE_CALL.htm?Highlight=OTR" xr:uid="{4771EE8B-5C61-4FE7-B1D0-814ECC313FF5}"/>
    <hyperlink ref="E113" r:id="rId16" display="http://insidecsg.csgsystems.com/bbsdocs/content/ILMDoc/Vantage/doclib/Current/Vantage/Content/Documentation/OCL_ORDER_COMP_LOB.htm?Highlight=OCL" xr:uid="{EB9543F6-36C1-43B4-8BC6-5EC9BAEF8D35}"/>
    <hyperlink ref="E42" r:id="rId17" display="http://insidecsg.csgsystems.com/bbsdocs/content/ILMDoc/Vantage/doclib/Current/Vantage/Content/Documentation/OJA_JOBS_ALT_ADDR.htm?Highlight=OJA" xr:uid="{E4E35FFB-C0B9-42D9-AEA7-1BA5382BD20D}"/>
    <hyperlink ref="E45" r:id="rId18" display="http://insidecsg.csgsystems.com/bbsdocs/content/ILMDoc/Vantage/doclib/Current/Vantage/Content/Documentation/OJB_JOBS.htm?Highlight=OJB" xr:uid="{CBB2162D-A877-4024-9B50-1AE18172CB8E}"/>
    <hyperlink ref="E24" r:id="rId19" display="http://insidecsg.csgsystems.com/bbsdocs/content/ILMDoc/Vantage/doclib/Current/Vantage/Content/Documentation/OAJ_AUDIT.htm?Highlight=OAJ" xr:uid="{76A758DA-117C-49D2-888F-9FDE2A4BBF7E}"/>
    <hyperlink ref="E27" r:id="rId20" display="http://insidecsg.csgsystems.com/bbsdocs/content/ILMDoc/Vantage/doclib/Current/Vantage/Content/Documentation/OAO_AUDIT.htm?Highlight=OAO" xr:uid="{AF9B2F6E-9137-47E0-86C8-009D311BAE49}"/>
    <hyperlink ref="E126" r:id="rId21" display="http://insidecsg.csgsystems.com/bbsdocs/content/ILMDoc/Vantage/doclib/Current/Vantage/Content/Documentation/OOR_ORDER_OPEN.htm?Highlight=OOR" xr:uid="{61AAC731-4243-4D97-86BD-991EC1698032}"/>
    <hyperlink ref="E123" r:id="rId22" display="http://insidecsg.csgsystems.com/bbsdocs/content/ILMDoc/Vantage/doclib/Current/Vantage/Content/Documentation/OCR_ORDER_COMP.htm?Highlight=OCR" xr:uid="{279F8017-976A-440B-8D9D-10F05736EC54}"/>
    <hyperlink ref="E129" r:id="rId23" display="http://insidecsg.csgsystems.com/bbsdocs/content/ILMDoc/Vantage/doclib/Current/Vantage/Content/Documentation/OTR_TROUBLE_CALL.htm?Highlight=OTR" xr:uid="{216A3B6A-A226-41C8-864B-774D033734EC}"/>
    <hyperlink ref="E114" r:id="rId24" display="http://insidecsg.csgsystems.com/bbsdocs/content/ILMDoc/Vantage/doclib/Current/Vantage/Content/Documentation/OCL_ORDER_COMP_LOB.htm?Highlight=OCL" xr:uid="{8B90286D-7FFB-41BD-AA74-8A2C890885D9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DB12D402C6146B542F16E7B576FE1" ma:contentTypeVersion="0" ma:contentTypeDescription="Create a new document." ma:contentTypeScope="" ma:versionID="d1199db98fdced50b17c0198e6abe9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EAFF98-CB2F-435D-B628-7FD787969E33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E5B52D4-3136-40DB-AEF6-51D9450DE2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40467C-0CAA-4DB9-BAE9-B8C66269E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Daily_Completion Status</vt:lpstr>
      <vt:lpstr>Infocast Autosys Job status</vt:lpstr>
      <vt:lpstr>Reload Status</vt:lpstr>
      <vt:lpstr>Cycle_Date</vt:lpstr>
      <vt:lpstr>Process_Date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Willer</dc:creator>
  <cp:keywords/>
  <dc:description/>
  <cp:lastModifiedBy>Shajith Shaik</cp:lastModifiedBy>
  <cp:revision/>
  <dcterms:created xsi:type="dcterms:W3CDTF">2020-11-02T23:17:30Z</dcterms:created>
  <dcterms:modified xsi:type="dcterms:W3CDTF">2023-08-03T06:06:40Z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0x010100B09DB12D402C6146B542F16E7B576FE1</vt:lpwstr>
  </property>
</Properties>
</file>